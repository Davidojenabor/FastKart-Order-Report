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drawings/drawing1.xml" ContentType="application/vnd.openxmlformats-officedocument.drawing+xml"/>
  <Override PartName="/xl/media/image2.svg" ContentType="image/sv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60" windowHeight="8865" activeTab="2"/>
  </bookViews>
  <sheets>
    <sheet name="Order_Sheet" sheetId="1" r:id="rId1"/>
    <sheet name="Pivottable" sheetId="5" r:id="rId2"/>
    <sheet name="FastKart Order Dashboard" sheetId="6" r:id="rId3"/>
  </sheets>
  <definedNames>
    <definedName name="Slicer_Region">#N/A</definedName>
  </definedNames>
  <calcPr calcId="191029"/>
  <pivotCaches>
    <pivotCache cacheId="0" r:id="rId4"/>
    <pivotCache cacheId="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<sst xmlns="http://schemas.openxmlformats.org/spreadsheetml/2006/main" count="866" uniqueCount="65">
  <si>
    <t>Customer Name</t>
  </si>
  <si>
    <t>Product Category</t>
  </si>
  <si>
    <t>Region</t>
  </si>
  <si>
    <t>Month</t>
  </si>
  <si>
    <t>Order Date</t>
  </si>
  <si>
    <t>Weekday</t>
  </si>
  <si>
    <t>Present Date</t>
  </si>
  <si>
    <t>Quantity</t>
  </si>
  <si>
    <t>Unit Price</t>
  </si>
  <si>
    <t>Total Sales</t>
  </si>
  <si>
    <t>Average Seling Price (ASP)</t>
  </si>
  <si>
    <t>Aisha</t>
  </si>
  <si>
    <t>Toilet Paper</t>
  </si>
  <si>
    <t>North</t>
  </si>
  <si>
    <t>Ngozi</t>
  </si>
  <si>
    <t>Yam Flour</t>
  </si>
  <si>
    <t>Amaka</t>
  </si>
  <si>
    <t>Uche</t>
  </si>
  <si>
    <t>Cereal</t>
  </si>
  <si>
    <t>John</t>
  </si>
  <si>
    <t>Sardine</t>
  </si>
  <si>
    <t>West</t>
  </si>
  <si>
    <t>David</t>
  </si>
  <si>
    <t>Garri</t>
  </si>
  <si>
    <t>East</t>
  </si>
  <si>
    <t>Tolu</t>
  </si>
  <si>
    <t>Cooking Oil</t>
  </si>
  <si>
    <t>South</t>
  </si>
  <si>
    <t>Soap</t>
  </si>
  <si>
    <t>Spaghetti</t>
  </si>
  <si>
    <t>Bola</t>
  </si>
  <si>
    <t>Blessing</t>
  </si>
  <si>
    <t>Detergent</t>
  </si>
  <si>
    <t>Emeka</t>
  </si>
  <si>
    <t>Milk</t>
  </si>
  <si>
    <t>Average Sales</t>
  </si>
  <si>
    <t>Key Performance Indicators</t>
  </si>
  <si>
    <t>Values</t>
  </si>
  <si>
    <t>Sum of Total Sales</t>
  </si>
  <si>
    <t>Average of Total Sales</t>
  </si>
  <si>
    <t>Total Quantity Sold</t>
  </si>
  <si>
    <t>Top-Selling Product</t>
  </si>
  <si>
    <t>Total Customers</t>
  </si>
  <si>
    <t>Average Selling Price (ASP)</t>
  </si>
  <si>
    <t>Count of Customer Name</t>
  </si>
  <si>
    <t>Total customers</t>
  </si>
  <si>
    <t>Sum of Quantity</t>
  </si>
  <si>
    <t>Row Labels</t>
  </si>
  <si>
    <t>Count of Product Category</t>
  </si>
  <si>
    <t>Average  Selling Price (ASP)</t>
  </si>
  <si>
    <t>Average Sales by Products</t>
  </si>
  <si>
    <t>Average of Average Seling Price (ASP)</t>
  </si>
  <si>
    <t>Monthly Sales Trend</t>
  </si>
  <si>
    <t>Grand Total</t>
  </si>
  <si>
    <t>January</t>
  </si>
  <si>
    <t>February</t>
  </si>
  <si>
    <t>March</t>
  </si>
  <si>
    <t>April</t>
  </si>
  <si>
    <t>May</t>
  </si>
  <si>
    <t>June</t>
  </si>
  <si>
    <t>(All)</t>
  </si>
  <si>
    <t>Overall Product Revenue And Performance Overtime</t>
  </si>
  <si>
    <t>Overall Customer Rvenue and Performance</t>
  </si>
  <si>
    <t>Regional Sales Trend Overtime</t>
  </si>
  <si>
    <t>Total Orders by Region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</si>
</sst>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&gt;=1000000]&quot;$&quot;0.0,,&quot;M&quot;;[&gt;=1000]&quot;$&quot;0.0,&quot;K&quot;;0"/>
    <numFmt numFmtId="179" formatCode="[&gt;=1000000]&quot;$&quot;0.000,,&quot;M&quot;;[&gt;=1000]&quot;$&quot;0.000,&quot;K&quot;;0.00"/>
    <numFmt numFmtId="180" formatCode="_-[$$-409]* #,##0_ ;_-[$$-409]* \-#,##0\ ;_-[$$-409]* &quot;-&quot;??_ ;_-@_ "/>
    <numFmt numFmtId="181" formatCode="_ * #,##0_ ;_ * \-#,##0_ ;_ * &quot;-&quot;??_ ;_ @_ "/>
    <numFmt numFmtId="182" formatCode="0.0"/>
    <numFmt numFmtId="183" formatCode="dd/mm/yyyy;@"/>
    <numFmt numFmtId="184" formatCode="_(&quot;$&quot;* #,##0_);_(&quot;$&quot;* \(#,##0\);_(&quot;$&quot;* &quot;-&quot;??_);_(@_)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178" fontId="0" fillId="0" borderId="0" xfId="0" applyNumberFormat="1"/>
    <xf numFmtId="0" fontId="0" fillId="0" borderId="0" xfId="0" applyNumberFormat="1"/>
    <xf numFmtId="0" fontId="1" fillId="0" borderId="0" xfId="0" applyFont="1" applyBorder="1"/>
    <xf numFmtId="0" fontId="0" fillId="0" borderId="0" xfId="0" applyBorder="1"/>
    <xf numFmtId="179" fontId="0" fillId="0" borderId="0" xfId="0" applyNumberFormat="1"/>
    <xf numFmtId="178" fontId="0" fillId="0" borderId="0" xfId="0" applyNumberFormat="1" applyBorder="1"/>
    <xf numFmtId="0" fontId="0" fillId="2" borderId="1" xfId="0" applyFill="1" applyBorder="1"/>
    <xf numFmtId="0" fontId="0" fillId="0" borderId="1" xfId="0" applyBorder="1"/>
    <xf numFmtId="180" fontId="0" fillId="0" borderId="1" xfId="0" applyNumberFormat="1" applyBorder="1"/>
    <xf numFmtId="181" fontId="0" fillId="0" borderId="1" xfId="0" applyNumberFormat="1" applyBorder="1"/>
    <xf numFmtId="182" fontId="0" fillId="0" borderId="1" xfId="0" applyNumberFormat="1" applyBorder="1"/>
    <xf numFmtId="0" fontId="2" fillId="0" borderId="1" xfId="0" applyFont="1" applyBorder="1"/>
    <xf numFmtId="178" fontId="0" fillId="0" borderId="1" xfId="0" applyNumberFormat="1" applyBorder="1"/>
    <xf numFmtId="0" fontId="0" fillId="0" borderId="0" xfId="0" applyAlignment="1">
      <alignment horizontal="left"/>
    </xf>
    <xf numFmtId="1" fontId="0" fillId="0" borderId="0" xfId="0" applyNumberFormat="1" applyBorder="1"/>
    <xf numFmtId="183" fontId="0" fillId="0" borderId="0" xfId="0" applyNumberFormat="1"/>
    <xf numFmtId="0" fontId="0" fillId="0" borderId="0" xfId="0" applyAlignment="1">
      <alignment horizontal="right"/>
    </xf>
    <xf numFmtId="44" fontId="0" fillId="0" borderId="0" xfId="2" applyFont="1"/>
    <xf numFmtId="0" fontId="0" fillId="0" borderId="1" xfId="0" applyNumberFormat="1" applyBorder="1"/>
    <xf numFmtId="183" fontId="0" fillId="0" borderId="1" xfId="0" applyNumberFormat="1" applyBorder="1"/>
    <xf numFmtId="1" fontId="0" fillId="0" borderId="1" xfId="0" applyNumberFormat="1" applyBorder="1"/>
    <xf numFmtId="58" fontId="0" fillId="0" borderId="1" xfId="0" applyNumberFormat="1" applyBorder="1"/>
    <xf numFmtId="0" fontId="0" fillId="0" borderId="1" xfId="0" applyBorder="1" applyAlignment="1">
      <alignment horizontal="right"/>
    </xf>
    <xf numFmtId="184" fontId="0" fillId="0" borderId="1" xfId="2" applyNumberFormat="1" applyFont="1" applyBorder="1"/>
    <xf numFmtId="184" fontId="0" fillId="0" borderId="2" xfId="2" applyNumberFormat="1" applyFont="1" applyBorder="1"/>
    <xf numFmtId="184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8"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78" formatCode="[&gt;=1000000]&quot;$&quot;0.0,,&quot;M&quot;;[&gt;=1000]&quot;$&quot;0.0,&quot;K&quot;;0"/>
    </dxf>
    <dxf>
      <numFmt numFmtId="185" formatCode="[&gt;=1000000]&quot;$&quot;0.00,,&quot;M&quot;;[&gt;=1000]&quot;$&quot;0.00,&quot;K&quot;;0.0"/>
    </dxf>
    <dxf>
      <numFmt numFmtId="179" formatCode="[&gt;=1000000]&quot;$&quot;0.000,,&quot;M&quot;;[&gt;=1000]&quot;$&quot;0.000,&quot;K&quot;;0.00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78" formatCode="[&gt;=1000000]&quot;$&quot;0.0,,&quot;M&quot;;[&gt;=1000]&quot;$&quot;0.0,&quot;K&quot;;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78" formatCode="[&gt;=1000000]&quot;$&quot;0.0,,&quot;M&quot;;[&gt;=1000]&quot;$&quot;0.0,&quot;K&quot;;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numFmt numFmtId="178" formatCode="[&gt;=1000000]&quot;$&quot;0.0,,&quot;M&quot;;[&gt;=1000]&quot;$&quot;0.0,&quot;K&quot;;0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border>
        <left style="thin">
          <color indexed="0"/>
        </left>
        <right style="thin">
          <color indexed="0"/>
        </right>
        <top style="thin">
          <color indexed="0"/>
        </top>
        <bottom style="thin">
          <color indexed="0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bottom/>
      </border>
    </dxf>
    <dxf>
      <border>
        <left/>
        <right/>
        <bottom/>
      </border>
    </dxf>
    <dxf>
      <border>
        <left/>
        <right/>
        <top/>
        <bottom/>
      </border>
    </dxf>
    <dxf/>
    <dxf>
      <numFmt numFmtId="178" formatCode="[&gt;=1000000]&quot;$&quot;0.0,,&quot;M&quot;;[&gt;=1000]&quot;$&quot;0.0,&quot;K&quot;;0"/>
    </dxf>
    <dxf>
      <numFmt numFmtId="178" formatCode="[&gt;=1000000]&quot;$&quot;0.0,,&quot;M&quot;;[&gt;=1000]&quot;$&quot;0.0,&quot;K&quot;;0"/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numFmt numFmtId="178" formatCode="[&gt;=1000000]&quot;$&quot;0.0,,&quot;M&quot;;[&gt;=1000]&quot;$&quot;0.0,&quot;K&quot;;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183" formatCode="dd/mm/yyyy;@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83" formatCode="dd/mm/yyyy;@"/>
    </dxf>
    <dxf>
      <numFmt numFmtId="58" formatCode="m/d/yyyy"/>
    </dxf>
    <dxf>
      <alignment horizontal="right"/>
    </dxf>
    <dxf>
      <numFmt numFmtId="184" formatCode="_(&quot;$&quot;* #,##0_);_(&quot;$&quot;* \(#,##0\);_(&quot;$&quot;* &quot;-&quot;??_);_(@_)"/>
    </dxf>
    <dxf>
      <numFmt numFmtId="184" formatCode="_(&quot;$&quot;* #,##0_);_(&quot;$&quot;* \(#,##0\);_(&quot;$&quot;* &quot;-&quot;??_);_(@_)"/>
    </dxf>
    <dxf>
      <numFmt numFmtId="184" formatCode="_(&quot;$&quot;* #,##0_);_(&quot;$&quot;* \(#,##0\);_(&quot;$&quot;* &quot;-&quot;??_);_(@_)"/>
    </dxf>
    <dxf>
      <fill>
        <patternFill patternType="solid">
          <fgColor theme="6" tint="0.599993896298105"/>
          <bgColor theme="6" tint="0.599993896298105"/>
        </patternFill>
      </fill>
    </dxf>
    <dxf>
      <fill>
        <patternFill patternType="solid">
          <fgColor theme="6" tint="0.599993896298105"/>
          <bgColor theme="6" tint="0.599993896298105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0"/>
      </font>
      <fill>
        <patternFill patternType="solid">
          <fgColor theme="6"/>
          <bgColor theme="6"/>
        </patternFill>
      </fill>
    </dxf>
    <dxf>
      <font>
        <b val="1"/>
        <color theme="1"/>
      </font>
      <fill>
        <patternFill patternType="solid">
          <fgColor theme="6" tint="0.799981688894314"/>
          <bgColor theme="6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"/>
          <bgColor theme="6" tint="0.799981688894314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2" defaultTableStyle="TableStyleMedium2" defaultPivotStyle="PivotStyleLight16">
    <tableStyle name="TableStylePreset4_Accent3" pivot="0" count="7" xr9:uid="{076E9323-99DA-46C8-95C9-2C41323F2E00}">
      <tableStyleElement type="wholeTable" dxfId="87"/>
      <tableStyleElement type="headerRow" dxfId="86"/>
      <tableStyleElement type="totalRow" dxfId="85"/>
      <tableStyleElement type="firstColumn" dxfId="84"/>
      <tableStyleElement type="lastColumn" dxfId="83"/>
      <tableStyleElement type="firstRowStripe" dxfId="82"/>
      <tableStyleElement type="firstColumnStripe" dxfId="81"/>
    </tableStyle>
    <tableStyle name="Slicer Style 1" pivot="0" table="0" count="0" xr9:uid="{6379AC8B-315B-4DDC-AF30-E27E46F1EA7C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[FastKart_Orders_Data.xlsx]Pivottable!PivotTable3</c:name>
    <c:fmtId val="3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Pivottable!$J$10</c:f>
              <c:strCache>
                <c:ptCount val="1"/>
                <c:pt idx="0">
                  <c:v>Total</c:v>
                </c:pt>
              </c:strCache>
            </c:strRef>
          </c:tx>
          <c:spPr>
            <a:ln w="38100" cap="rnd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Pivottable!$I$11:$I$21</c:f>
              <c:strCache>
                <c:ptCount val="10"/>
                <c:pt idx="0">
                  <c:v>Aisha</c:v>
                </c:pt>
                <c:pt idx="1">
                  <c:v>Amaka</c:v>
                </c:pt>
                <c:pt idx="2">
                  <c:v>Blessing</c:v>
                </c:pt>
                <c:pt idx="3">
                  <c:v>Bola</c:v>
                </c:pt>
                <c:pt idx="4">
                  <c:v>David</c:v>
                </c:pt>
                <c:pt idx="5">
                  <c:v>Emeka</c:v>
                </c:pt>
                <c:pt idx="6">
                  <c:v>John</c:v>
                </c:pt>
                <c:pt idx="7">
                  <c:v>Ngozi</c:v>
                </c:pt>
                <c:pt idx="8">
                  <c:v>Tolu</c:v>
                </c:pt>
                <c:pt idx="9">
                  <c:v>Uche</c:v>
                </c:pt>
              </c:strCache>
            </c:strRef>
          </c:cat>
          <c:val>
            <c:numRef>
              <c:f>Pivottable!$J$11:$J$21</c:f>
              <c:numCache>
                <c:formatCode>General</c:formatCode>
                <c:ptCount val="10"/>
                <c:pt idx="0">
                  <c:v>19</c:v>
                </c:pt>
                <c:pt idx="1">
                  <c:v>20</c:v>
                </c:pt>
                <c:pt idx="2">
                  <c:v>28</c:v>
                </c:pt>
                <c:pt idx="3">
                  <c:v>24</c:v>
                </c:pt>
                <c:pt idx="4">
                  <c:v>26</c:v>
                </c:pt>
                <c:pt idx="5">
                  <c:v>24</c:v>
                </c:pt>
                <c:pt idx="6">
                  <c:v>30</c:v>
                </c:pt>
                <c:pt idx="7">
                  <c:v>29</c:v>
                </c:pt>
                <c:pt idx="8">
                  <c:v>29</c:v>
                </c:pt>
                <c:pt idx="9">
                  <c:v>21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1"/>
        <c:axId val="842574544"/>
        <c:axId val="842592016"/>
      </c:lineChart>
      <c:catAx>
        <c:axId val="8425745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92016"/>
        <c:crosses val="autoZero"/>
        <c:auto val="1"/>
        <c:lblAlgn val="ctr"/>
        <c:lblOffset val="100"/>
        <c:noMultiLvlLbl val="0"/>
      </c:catAx>
      <c:valAx>
        <c:axId val="8425920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4257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0346e21-6a92-488a-885a-a7bdac625d3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[FastKart_Orders_Data.xlsx]Pivottable!PivotTable8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TOP 5 SELLING</a:t>
            </a:r>
            <a:r>
              <a:rPr lang="en-US" sz="1800" baseline="0"/>
              <a:t> PRODUCT BY SALES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Pivottable!$A$33:$A$37</c:f>
              <c:strCache>
                <c:ptCount val="5"/>
                <c:pt idx="0">
                  <c:v>Toilet Paper</c:v>
                </c:pt>
                <c:pt idx="1">
                  <c:v>Cereal</c:v>
                </c:pt>
                <c:pt idx="2">
                  <c:v>Sardine</c:v>
                </c:pt>
                <c:pt idx="3">
                  <c:v>Detergent</c:v>
                </c:pt>
                <c:pt idx="4">
                  <c:v>Soap</c:v>
                </c:pt>
              </c:strCache>
            </c:strRef>
          </c:cat>
          <c:val>
            <c:numRef>
              <c:f>Pivottable!$B$33:$B$37</c:f>
              <c:numCache>
                <c:formatCode>[&gt;=1000000]"$"0.0,,"M";[&gt;=1000]"$"0.0,"K";0</c:formatCode>
                <c:ptCount val="5"/>
                <c:pt idx="0">
                  <c:v>197704</c:v>
                </c:pt>
                <c:pt idx="1">
                  <c:v>152995</c:v>
                </c:pt>
                <c:pt idx="2">
                  <c:v>143234</c:v>
                </c:pt>
                <c:pt idx="3">
                  <c:v>131022</c:v>
                </c:pt>
                <c:pt idx="4">
                  <c:v>126540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05909790"/>
        <c:axId val="262713502"/>
      </c:barChart>
      <c:catAx>
        <c:axId val="605909790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62713502"/>
        <c:crosses val="autoZero"/>
        <c:auto val="1"/>
        <c:lblAlgn val="ctr"/>
        <c:lblOffset val="100"/>
        <c:noMultiLvlLbl val="0"/>
      </c:catAx>
      <c:valAx>
        <c:axId val="262713502"/>
        <c:scaling>
          <c:orientation val="minMax"/>
        </c:scaling>
        <c:delete val="1"/>
        <c:axPos val="b"/>
        <c:numFmt formatCode="[&gt;=1000000]&quot;$&quot;0.0,,&quot;M&quot;;[&gt;=1000]&quot;$&quot;0.0,&quot;K&quot;;0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0590979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cf6d838-1bfb-4791-a143-ef02ca0e84b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50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[FastKart_Orders_Data.xlsx]Pivottable!PivotTable14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REGIONAL SALES PERFORMANCE</a:t>
            </a:r>
            <a:endParaRPr lang="en-US" sz="1800"/>
          </a:p>
        </c:rich>
      </c:tx>
      <c:layout>
        <c:manualLayout>
          <c:xMode val="edge"/>
          <c:yMode val="edge"/>
          <c:x val="0.309985578403016"/>
          <c:y val="0.020606417427141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193217830716"/>
          <c:y val="0.137214671922872"/>
          <c:w val="0.830378069522776"/>
          <c:h val="0.792187843925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Pivottable!$E$46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2">
                <a:lumMod val="2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Pivottable!$D$47:$D$50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Pivottable!$E$47:$E$50</c:f>
              <c:numCache>
                <c:formatCode>[&gt;=1000000]"$"0.0,,"M";[&gt;=1000]"$"0.0,"K";0</c:formatCode>
                <c:ptCount val="4"/>
                <c:pt idx="0">
                  <c:v>299530</c:v>
                </c:pt>
                <c:pt idx="1">
                  <c:v>311887</c:v>
                </c:pt>
                <c:pt idx="2">
                  <c:v>328621</c:v>
                </c:pt>
                <c:pt idx="3">
                  <c:v>344735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676448776"/>
        <c:axId val="179386475"/>
      </c:barChart>
      <c:catAx>
        <c:axId val="6764487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9386475"/>
        <c:crosses val="autoZero"/>
        <c:auto val="1"/>
        <c:lblAlgn val="ctr"/>
        <c:lblOffset val="100"/>
        <c:noMultiLvlLbl val="0"/>
      </c:catAx>
      <c:valAx>
        <c:axId val="179386475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76448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2d84cf-f9e9-4157-a3c9-f4062af4c290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50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0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MONTHL</a:t>
            </a:r>
            <a:r>
              <a:rPr lang="en-US" sz="1800" b="1" baseline="0"/>
              <a:t>Y SALES TREND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21873382058085"/>
          <c:y val="0.19069048407784"/>
          <c:w val="0.924745186571649"/>
          <c:h val="0.753243465925983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Pivottable!$B$22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38100" cap="flat" cmpd="sng" algn="ctr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 cmpd="dbl">
                <a:solidFill>
                  <a:schemeClr val="bg2">
                    <a:lumMod val="10000"/>
                  </a:schemeClr>
                </a:solidFill>
                <a:prstDash val="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Pivottable!$A$23:$A$28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Pivottable!$B$23:$B$28</c:f>
              <c:numCache>
                <c:formatCode>[&gt;=1000000]"$"0.0,,"M";[&gt;=1000]"$"0.0,"K";0</c:formatCode>
                <c:ptCount val="6"/>
                <c:pt idx="0">
                  <c:v>200878</c:v>
                </c:pt>
                <c:pt idx="1">
                  <c:v>206468</c:v>
                </c:pt>
                <c:pt idx="2">
                  <c:v>243897</c:v>
                </c:pt>
                <c:pt idx="3">
                  <c:v>215812</c:v>
                </c:pt>
                <c:pt idx="4">
                  <c:v>192552</c:v>
                </c:pt>
                <c:pt idx="5">
                  <c:v>225166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bg2">
                  <a:lumMod val="50000"/>
                  <a:alpha val="33000"/>
                </a:schemeClr>
              </a:solidFill>
              <a:round/>
            </a:ln>
            <a:effectLst/>
          </c:spPr>
        </c:dropLines>
        <c:marker val="1"/>
        <c:smooth val="1"/>
        <c:axId val="76756108"/>
        <c:axId val="199636511"/>
      </c:lineChart>
      <c:catAx>
        <c:axId val="767561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99636511"/>
        <c:crosses val="autoZero"/>
        <c:auto val="1"/>
        <c:lblAlgn val="ctr"/>
        <c:lblOffset val="100"/>
        <c:noMultiLvlLbl val="0"/>
      </c:catAx>
      <c:valAx>
        <c:axId val="199636511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67561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44ae2f7-70ff-417b-a631-b04ea979771c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1050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[FastKart_Orders_Data.xlsx]Pivottable!PivotTable11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cap="none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WEEKLY SALES TREND</a:t>
            </a:r>
            <a:endParaRPr lang="en-US" sz="18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20873657612306"/>
          <c:y val="0.255458896030111"/>
          <c:w val="0.924866166306138"/>
          <c:h val="0.691596097120551"/>
        </c:manualLayout>
      </c:layout>
      <c:lineChart>
        <c:grouping val="standard"/>
        <c:varyColors val="0"/>
        <c:ser>
          <c:idx val="0"/>
          <c:order val="0"/>
          <c:tx>
            <c:strRef>
              <c:f>Pivottable!$J$31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 cmpd="sng" algn="ctr">
              <a:solidFill>
                <a:schemeClr val="bg2">
                  <a:lumMod val="10000"/>
                </a:schemeClr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38100" cap="flat" cmpd="sng" algn="ctr">
                <a:solidFill>
                  <a:schemeClr val="bg2">
                    <a:lumMod val="5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bg2">
                    <a:lumMod val="10000"/>
                  </a:schemeClr>
                </a:solidFill>
                <a:prstDash val="dash"/>
              </a:ln>
              <a:effectLst/>
            </c:spPr>
            <c:trendlineType val="movingAvg"/>
            <c:period val="2"/>
            <c:dispRSqr val="0"/>
            <c:dispEq val="0"/>
          </c:trendline>
          <c:cat>
            <c:strRef>
              <c:f>Pivottable!$I$32:$I$38</c:f>
              <c:strCach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strCache>
            </c:strRef>
          </c:cat>
          <c:val>
            <c:numRef>
              <c:f>Pivottable!$J$32:$J$38</c:f>
              <c:numCache>
                <c:formatCode>[&gt;=1000000]"$"0.0,,"M";[&gt;=1000]"$"0.0,"K";0</c:formatCode>
                <c:ptCount val="7"/>
                <c:pt idx="0">
                  <c:v>255619</c:v>
                </c:pt>
                <c:pt idx="1">
                  <c:v>140470</c:v>
                </c:pt>
                <c:pt idx="2">
                  <c:v>211788</c:v>
                </c:pt>
                <c:pt idx="3">
                  <c:v>144892</c:v>
                </c:pt>
                <c:pt idx="4">
                  <c:v>190913</c:v>
                </c:pt>
                <c:pt idx="5">
                  <c:v>144252</c:v>
                </c:pt>
                <c:pt idx="6">
                  <c:v>196839</c:v>
                </c:pt>
              </c:numCache>
            </c:numRef>
          </c:val>
          <c:smooth val="1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1"/>
        <c:axId val="477265853"/>
        <c:axId val="925571429"/>
      </c:lineChart>
      <c:catAx>
        <c:axId val="4772658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925571429"/>
        <c:crosses val="autoZero"/>
        <c:auto val="1"/>
        <c:lblAlgn val="ctr"/>
        <c:lblOffset val="100"/>
        <c:noMultiLvlLbl val="0"/>
      </c:catAx>
      <c:valAx>
        <c:axId val="925571429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spc="2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7726585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d965c2c-aef5-4554-9165-178690aea26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[FastKart_Orders_Data.xlsx]Pivottable!PivotTable12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TOP</a:t>
            </a:r>
            <a:r>
              <a:rPr lang="en-US" sz="1800" baseline="0"/>
              <a:t> 5 CUSTOMERS VS PERFORMANCE</a:t>
            </a:r>
            <a:endParaRPr lang="en-US" sz="18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1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en-US"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Pivottable!$A$45:$A$49</c:f>
              <c:strCache>
                <c:ptCount val="5"/>
                <c:pt idx="0">
                  <c:v>John</c:v>
                </c:pt>
                <c:pt idx="1">
                  <c:v>David</c:v>
                </c:pt>
                <c:pt idx="2">
                  <c:v>Uche</c:v>
                </c:pt>
                <c:pt idx="3">
                  <c:v>Blessing</c:v>
                </c:pt>
                <c:pt idx="4">
                  <c:v>Ngozi</c:v>
                </c:pt>
              </c:strCache>
            </c:strRef>
          </c:cat>
          <c:val>
            <c:numRef>
              <c:f>Pivottable!$B$45:$B$49</c:f>
              <c:numCache>
                <c:formatCode>[&gt;=1000000]"$"0.0,,"M";[&gt;=1000]"$"0.0,"K";0</c:formatCode>
                <c:ptCount val="5"/>
                <c:pt idx="0">
                  <c:v>156267</c:v>
                </c:pt>
                <c:pt idx="1">
                  <c:v>144729</c:v>
                </c:pt>
                <c:pt idx="2">
                  <c:v>135501</c:v>
                </c:pt>
                <c:pt idx="3">
                  <c:v>133902</c:v>
                </c:pt>
                <c:pt idx="4">
                  <c:v>132633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143586710"/>
        <c:axId val="827689439"/>
      </c:barChart>
      <c:catAx>
        <c:axId val="1435867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27689439"/>
        <c:crosses val="autoZero"/>
        <c:auto val="1"/>
        <c:lblAlgn val="ctr"/>
        <c:lblOffset val="100"/>
        <c:noMultiLvlLbl val="0"/>
      </c:catAx>
      <c:valAx>
        <c:axId val="827689439"/>
        <c:scaling>
          <c:orientation val="minMax"/>
        </c:scaling>
        <c:delete val="0"/>
        <c:axPos val="l"/>
        <c:numFmt formatCode="[&gt;=1000000]&quot;$&quot;0.0,,&quot;M&quot;;[&gt;=1000]&quot;$&quot;0.0,&quot;K&quot;;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435867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2429e8d-5b12-4513-b521-eab628dda1ca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>
          <a:solidFill>
            <a:sysClr val="windowText" lastClr="000000"/>
          </a:solidFill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[FastKart_Orders_Data.xlsx]Pivottable!PivotTable10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rPr>
              <a:t>REGIONAL ORDER VOLUME</a:t>
            </a:r>
            <a:endParaRPr lang="en-US" sz="18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Pivottable!$H$46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2">
                  <a:lumMod val="25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Pivottable!$G$47:$G$50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Pivottable!$H$47:$H$50</c:f>
              <c:numCache>
                <c:formatCode>General</c:formatCode>
                <c:ptCount val="4"/>
                <c:pt idx="0">
                  <c:v>56</c:v>
                </c:pt>
                <c:pt idx="1">
                  <c:v>58</c:v>
                </c:pt>
                <c:pt idx="2">
                  <c:v>62</c:v>
                </c:pt>
                <c:pt idx="3">
                  <c:v>74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6223936"/>
        <c:axId val="1096230592"/>
      </c:barChart>
      <c:catAx>
        <c:axId val="109622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6230592"/>
        <c:crosses val="autoZero"/>
        <c:auto val="1"/>
        <c:lblAlgn val="ctr"/>
        <c:lblOffset val="100"/>
        <c:noMultiLvlLbl val="0"/>
      </c:catAx>
      <c:valAx>
        <c:axId val="1096230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622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84dc25f-79f9-425f-9dd7-c4f2b4faf0c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2.svg"/><Relationship Id="rId8" Type="http://schemas.openxmlformats.org/officeDocument/2006/relationships/image" Target="../media/image1.png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600053</xdr:colOff>
      <xdr:row>3</xdr:row>
      <xdr:rowOff>172797</xdr:rowOff>
    </xdr:from>
    <xdr:to>
      <xdr:col>55</xdr:col>
      <xdr:colOff>444478</xdr:colOff>
      <xdr:row>72</xdr:row>
      <xdr:rowOff>115647</xdr:rowOff>
    </xdr:to>
    <xdr:grpSp>
      <xdr:nvGrpSpPr>
        <xdr:cNvPr id="84" name="Group 83"/>
        <xdr:cNvGrpSpPr/>
      </xdr:nvGrpSpPr>
      <xdr:grpSpPr>
        <a:xfrm>
          <a:off x="1209040" y="744220"/>
          <a:ext cx="32762825" cy="13087350"/>
          <a:chOff x="76200" y="29936"/>
          <a:chExt cx="33277175" cy="13087350"/>
        </a:xfrm>
      </xdr:grpSpPr>
      <xdr:sp>
        <xdr:nvSpPr>
          <xdr:cNvPr id="2" name="Rounded Rectangle 1"/>
          <xdr:cNvSpPr/>
        </xdr:nvSpPr>
        <xdr:spPr>
          <a:xfrm>
            <a:off x="301352" y="29936"/>
            <a:ext cx="33052023" cy="13087350"/>
          </a:xfrm>
          <a:prstGeom prst="roundRect">
            <a:avLst>
              <a:gd name="adj" fmla="val 1335"/>
            </a:avLst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0">
            <a:srgbClr val="FFFFFF"/>
          </a:lnRef>
          <a:fillRef idx="2">
            <a:schemeClr val="accent1"/>
          </a:fillRef>
          <a:effectRef idx="1">
            <a:schemeClr val="accent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algn="l"/>
            <a:endParaRPr lang="en-US" sz="1100">
              <a:latin typeface="Trebuchet MS" panose="020B0603020202020204" pitchFamily="34" charset="0"/>
            </a:endParaRPr>
          </a:p>
        </xdr:txBody>
      </xdr:sp>
      <xdr:sp>
        <xdr:nvSpPr>
          <xdr:cNvPr id="8" name="Text Box 7"/>
          <xdr:cNvSpPr txBox="1"/>
        </xdr:nvSpPr>
        <xdr:spPr>
          <a:xfrm>
            <a:off x="2054225" y="409574"/>
            <a:ext cx="19805650" cy="17176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>
            <a:noAutofit/>
          </a:bodyPr>
          <a:lstStyle/>
          <a:p>
            <a:pPr algn="l"/>
            <a:endParaRPr lang="en-US" sz="1200">
              <a:latin typeface="Trebuchet MS" panose="020B0603020202020204" pitchFamily="34" charset="0"/>
            </a:endParaRPr>
          </a:p>
          <a:p>
            <a:pPr algn="l"/>
            <a:r>
              <a:rPr lang="en-US" sz="3200" b="1">
                <a:latin typeface="Trebuchet MS" panose="020B0603020202020204" pitchFamily="34" charset="0"/>
              </a:rPr>
              <a:t>FASTKART</a:t>
            </a:r>
            <a:r>
              <a:rPr lang="en-US" sz="3200" b="1" baseline="0">
                <a:latin typeface="Trebuchet MS" panose="020B0603020202020204" pitchFamily="34" charset="0"/>
              </a:rPr>
              <a:t> ORDER REPORT: COMPREHENSIVE OVERVIEW OF FASTKART ORDER PERFORMANCE</a:t>
            </a:r>
            <a:endParaRPr lang="en-US" sz="3200" b="1" baseline="0">
              <a:latin typeface="Trebuchet MS" panose="020B0603020202020204" pitchFamily="34" charset="0"/>
            </a:endParaRPr>
          </a:p>
          <a:p>
            <a:pPr algn="l"/>
            <a:r>
              <a:rPr lang="en-US" sz="1600" i="1" baseline="0">
                <a:latin typeface="Trebuchet MS" panose="020B0603020202020204" pitchFamily="34" charset="0"/>
              </a:rPr>
              <a:t>Transforming FastKart raw data into actionable insights that highlights performance, efficiency, and service quality.</a:t>
            </a:r>
            <a:endParaRPr lang="en-US" sz="1600" i="1">
              <a:latin typeface="Trebuchet MS" panose="020B0603020202020204" pitchFamily="34" charset="0"/>
            </a:endParaRPr>
          </a:p>
        </xdr:txBody>
      </xdr:sp>
      <xdr:sp>
        <xdr:nvSpPr>
          <xdr:cNvPr id="22" name="Rounded Rectangle 4"/>
          <xdr:cNvSpPr/>
        </xdr:nvSpPr>
        <xdr:spPr>
          <a:xfrm>
            <a:off x="676275" y="9010650"/>
            <a:ext cx="7059975" cy="4000500"/>
          </a:xfrm>
          <a:prstGeom prst="roundRect">
            <a:avLst>
              <a:gd name="adj" fmla="val 452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>
            <a:defPPr>
              <a:defRPr lang="en-US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/>
            <a:endParaRPr lang="en-US" sz="1100">
              <a:latin typeface="Trebuchet MS" panose="020B0603020202020204" pitchFamily="34" charset="0"/>
            </a:endParaRPr>
          </a:p>
        </xdr:txBody>
      </xdr:sp>
      <xdr:grpSp>
        <xdr:nvGrpSpPr>
          <xdr:cNvPr id="50" name="Group 49"/>
          <xdr:cNvGrpSpPr/>
        </xdr:nvGrpSpPr>
        <xdr:grpSpPr>
          <a:xfrm>
            <a:off x="7860665" y="4163060"/>
            <a:ext cx="6855460" cy="8867140"/>
            <a:chOff x="9879965" y="2429510"/>
            <a:chExt cx="4648835" cy="7545705"/>
          </a:xfrm>
        </xdr:grpSpPr>
        <xdr:sp>
          <xdr:nvSpPr>
            <xdr:cNvPr id="7" name="Rounded Rectangle 6"/>
            <xdr:cNvSpPr/>
          </xdr:nvSpPr>
          <xdr:spPr>
            <a:xfrm>
              <a:off x="9879965" y="2429510"/>
              <a:ext cx="4648835" cy="7545705"/>
            </a:xfrm>
            <a:prstGeom prst="roundRect">
              <a:avLst>
                <a:gd name="adj" fmla="val 320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latin typeface="Trebuchet MS" panose="020B0603020202020204" pitchFamily="34" charset="0"/>
              </a:endParaRPr>
            </a:p>
          </xdr:txBody>
        </xdr:sp>
        <xdr:cxnSp>
          <xdr:nvCxnSpPr>
            <xdr:cNvPr id="27" name="Straight Connector 26"/>
            <xdr:cNvCxnSpPr/>
          </xdr:nvCxnSpPr>
          <xdr:spPr>
            <a:xfrm>
              <a:off x="10557596" y="6202363"/>
              <a:ext cx="3275421" cy="2494"/>
            </a:xfrm>
            <a:prstGeom prst="line">
              <a:avLst/>
            </a:prstGeom>
            <a:ln>
              <a:solidFill>
                <a:schemeClr val="bg2">
                  <a:lumMod val="25000"/>
                </a:schemeClr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1" name="Group 50"/>
          <xdr:cNvGrpSpPr/>
        </xdr:nvGrpSpPr>
        <xdr:grpSpPr>
          <a:xfrm>
            <a:off x="14883765" y="4194810"/>
            <a:ext cx="6899910" cy="8778240"/>
            <a:chOff x="14655165" y="2442210"/>
            <a:chExt cx="4648835" cy="7532370"/>
          </a:xfrm>
        </xdr:grpSpPr>
        <xdr:sp>
          <xdr:nvSpPr>
            <xdr:cNvPr id="12" name="Rounded Rectangle 11"/>
            <xdr:cNvSpPr/>
          </xdr:nvSpPr>
          <xdr:spPr>
            <a:xfrm>
              <a:off x="14655165" y="2442210"/>
              <a:ext cx="4648835" cy="7532370"/>
            </a:xfrm>
            <a:prstGeom prst="roundRect">
              <a:avLst>
                <a:gd name="adj" fmla="val 320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latin typeface="Trebuchet MS" panose="020B0603020202020204" pitchFamily="34" charset="0"/>
              </a:endParaRPr>
            </a:p>
          </xdr:txBody>
        </xdr:sp>
        <xdr:cxnSp>
          <xdr:nvCxnSpPr>
            <xdr:cNvPr id="30" name="Straight Connector 29"/>
            <xdr:cNvCxnSpPr/>
          </xdr:nvCxnSpPr>
          <xdr:spPr>
            <a:xfrm>
              <a:off x="15335523" y="6159671"/>
              <a:ext cx="3275421" cy="2494"/>
            </a:xfrm>
            <a:prstGeom prst="line">
              <a:avLst/>
            </a:prstGeom>
            <a:ln>
              <a:solidFill>
                <a:schemeClr val="bg2">
                  <a:lumMod val="25000"/>
                </a:schemeClr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pic>
        <xdr:nvPicPr>
          <xdr:cNvPr id="43" name="Graphic 42" descr="Graph and note paper pads with pencil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>
            <a:off x="76200" y="114300"/>
            <a:ext cx="2333625" cy="2019300"/>
          </a:xfrm>
          <a:prstGeom prst="rect">
            <a:avLst/>
          </a:prstGeom>
        </xdr:spPr>
      </xdr:pic>
      <xdr:grpSp>
        <xdr:nvGrpSpPr>
          <xdr:cNvPr id="71" name="Group 70"/>
          <xdr:cNvGrpSpPr/>
        </xdr:nvGrpSpPr>
        <xdr:grpSpPr>
          <a:xfrm>
            <a:off x="7848600" y="2362200"/>
            <a:ext cx="13954125" cy="1657350"/>
            <a:chOff x="8553450" y="2266950"/>
            <a:chExt cx="12134850" cy="1790700"/>
          </a:xfrm>
        </xdr:grpSpPr>
        <xdr:sp>
          <xdr:nvSpPr>
            <xdr:cNvPr id="53" name="Rectangle: Rounded Corners 52"/>
            <xdr:cNvSpPr/>
          </xdr:nvSpPr>
          <xdr:spPr>
            <a:xfrm>
              <a:off x="8553450" y="2266950"/>
              <a:ext cx="12134850" cy="1790700"/>
            </a:xfrm>
            <a:prstGeom prst="roundRect">
              <a:avLst>
                <a:gd name="adj" fmla="val 565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/>
            <a:p>
              <a:pPr marL="0" indent="0" algn="l" defTabSz="914400" rtl="0" eaLnBrk="1" latinLnBrk="0" hangingPunct="1"/>
              <a:endParaRPr lang="en-US" sz="1100">
                <a:solidFill>
                  <a:schemeClr val="lt1"/>
                </a:solidFill>
                <a:latin typeface="Trebuchet MS" panose="020B0603020202020204" pitchFamily="34" charset="0"/>
                <a:ea typeface="+mn-ea"/>
                <a:cs typeface="+mn-cs"/>
              </a:endParaRPr>
            </a:p>
          </xdr:txBody>
        </xdr:sp>
        <xdr:grpSp>
          <xdr:nvGrpSpPr>
            <xdr:cNvPr id="38" name="Group 37"/>
            <xdr:cNvGrpSpPr/>
          </xdr:nvGrpSpPr>
          <xdr:grpSpPr>
            <a:xfrm>
              <a:off x="8604249" y="2476500"/>
              <a:ext cx="2532380" cy="1327150"/>
              <a:chOff x="10299699" y="1028700"/>
              <a:chExt cx="2532380" cy="1327150"/>
            </a:xfrm>
            <a:noFill/>
          </xdr:grpSpPr>
          <xdr:sp>
            <xdr:nvSpPr>
              <xdr:cNvPr id="11" name="Rounded Rectangle 10"/>
              <xdr:cNvSpPr/>
            </xdr:nvSpPr>
            <xdr:spPr>
              <a:xfrm>
                <a:off x="10299699" y="1136650"/>
                <a:ext cx="2532380" cy="1219200"/>
              </a:xfrm>
              <a:prstGeom prst="roundRect">
                <a:avLst>
                  <a:gd name="adj" fmla="val 7291"/>
                </a:avLst>
              </a:prstGeom>
              <a:grpFill/>
              <a:ln>
                <a:noFill/>
              </a:ln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>
                  <a:latin typeface="Trebuchet MS" panose="020B0603020202020204" pitchFamily="34" charset="0"/>
                </a:endParaRPr>
              </a:p>
            </xdr:txBody>
          </xdr:sp>
          <xdr:grpSp>
            <xdr:nvGrpSpPr>
              <xdr:cNvPr id="37" name="Group 36"/>
              <xdr:cNvGrpSpPr/>
            </xdr:nvGrpSpPr>
            <xdr:grpSpPr>
              <a:xfrm>
                <a:off x="10439400" y="1028700"/>
                <a:ext cx="2305050" cy="1295400"/>
                <a:chOff x="10439400" y="1028700"/>
                <a:chExt cx="2305050" cy="1295400"/>
              </a:xfrm>
              <a:grpFill/>
            </xdr:grpSpPr>
            <xdr:sp>
              <xdr:nvSpPr>
                <xdr:cNvPr id="34" name="TextBox 33"/>
                <xdr:cNvSpPr txBox="1"/>
              </xdr:nvSpPr>
              <xdr:spPr>
                <a:xfrm>
                  <a:off x="10439400" y="1028700"/>
                  <a:ext cx="2305050" cy="361950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indent="0" algn="l"/>
                  <a:r>
                    <a:rPr lang="en-US" sz="1800" b="1">
                      <a:ln>
                        <a:noFill/>
                      </a:ln>
                      <a:solidFill>
                        <a:schemeClr val="dk1"/>
                      </a:solidFill>
                      <a:latin typeface="Trebuchet MS" panose="020B0603020202020204" pitchFamily="34" charset="0"/>
                      <a:ea typeface="+mn-ea"/>
                      <a:cs typeface="Trebuchet MS" panose="020B0603020202020204" pitchFamily="34" charset="0"/>
                    </a:rPr>
                    <a:t>AVERAGE SALES</a:t>
                  </a:r>
                  <a:endParaRPr lang="en-US" sz="1800" b="1">
                    <a:ln>
                      <a:noFill/>
                    </a:ln>
                    <a:solidFill>
                      <a:schemeClr val="dk1"/>
                    </a:solidFill>
                    <a:latin typeface="Trebuchet MS" panose="020B0603020202020204" pitchFamily="34" charset="0"/>
                    <a:ea typeface="+mn-ea"/>
                    <a:cs typeface="Trebuchet MS" panose="020B0603020202020204" pitchFamily="34" charset="0"/>
                  </a:endParaRPr>
                </a:p>
              </xdr:txBody>
            </xdr:sp>
            <xdr:sp textlink="Pivottable!J7">
              <xdr:nvSpPr>
                <xdr:cNvPr id="35" name="TextBox 34"/>
                <xdr:cNvSpPr txBox="1"/>
              </xdr:nvSpPr>
              <xdr:spPr>
                <a:xfrm>
                  <a:off x="10699748" y="1422400"/>
                  <a:ext cx="2006601" cy="901700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indent="0" algn="l"/>
                  <a:fld id="{974C8C1E-7193-44AC-8C04-1C35B622D8AD}" type="TxLink">
                    <a:rPr lang="en-US" sz="4400" b="1" i="0" u="none" strike="noStrike">
                      <a:solidFill>
                        <a:srgbClr val="000000"/>
                      </a:solidFill>
                      <a:latin typeface="Trebuchet MS" panose="020B0603020202020204" pitchFamily="34" charset="0"/>
                      <a:ea typeface="+mn-ea"/>
                      <a:cs typeface="Calibri" panose="020F0502020204030204"/>
                    </a:rPr>
                    <a:t>$5.1K</a:t>
                  </a:fld>
                  <a:endParaRPr lang="en-US" sz="4400" b="1" i="0" u="none" strike="noStrike">
                    <a:solidFill>
                      <a:srgbClr val="000000"/>
                    </a:solidFill>
                    <a:latin typeface="Trebuchet MS" panose="020B0603020202020204" pitchFamily="34" charset="0"/>
                    <a:ea typeface="+mn-ea"/>
                    <a:cs typeface="Calibri" panose="020F0502020204030204"/>
                  </a:endParaRPr>
                </a:p>
              </xdr:txBody>
            </xdr:sp>
          </xdr:grpSp>
        </xdr:grpSp>
        <xdr:cxnSp>
          <xdr:nvCxnSpPr>
            <xdr:cNvPr id="55" name="Straight Connector 54"/>
            <xdr:cNvCxnSpPr/>
          </xdr:nvCxnSpPr>
          <xdr:spPr>
            <a:xfrm>
              <a:off x="11220450" y="2400300"/>
              <a:ext cx="0" cy="1485900"/>
            </a:xfrm>
            <a:prstGeom prst="line">
              <a:avLst/>
            </a:prstGeom>
            <a:ln>
              <a:solidFill>
                <a:schemeClr val="bg2">
                  <a:lumMod val="10000"/>
                </a:schemeClr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52" name="Group 51"/>
            <xdr:cNvGrpSpPr/>
          </xdr:nvGrpSpPr>
          <xdr:grpSpPr>
            <a:xfrm>
              <a:off x="11382375" y="2443660"/>
              <a:ext cx="2532380" cy="1385390"/>
              <a:chOff x="4600575" y="957760"/>
              <a:chExt cx="2532380" cy="1385390"/>
            </a:xfrm>
          </xdr:grpSpPr>
          <xdr:sp>
            <xdr:nvSpPr>
              <xdr:cNvPr id="9" name="Rounded Rectangle 8"/>
              <xdr:cNvSpPr/>
            </xdr:nvSpPr>
            <xdr:spPr>
              <a:xfrm>
                <a:off x="4600575" y="1079500"/>
                <a:ext cx="2532380" cy="1219200"/>
              </a:xfrm>
              <a:prstGeom prst="roundRect">
                <a:avLst>
                  <a:gd name="adj" fmla="val 7291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>
                  <a:latin typeface="Trebuchet MS" panose="020B0603020202020204" pitchFamily="34" charset="0"/>
                </a:endParaRPr>
              </a:p>
            </xdr:txBody>
          </xdr:sp>
          <xdr:sp>
            <xdr:nvSpPr>
              <xdr:cNvPr id="16" name="Text Box 12"/>
              <xdr:cNvSpPr txBox="1"/>
            </xdr:nvSpPr>
            <xdr:spPr>
              <a:xfrm>
                <a:off x="4735739" y="957760"/>
                <a:ext cx="1950811" cy="356689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marL="0" indent="0" algn="l"/>
                <a:r>
                  <a:rPr lang="en-US" sz="1800" b="1">
                    <a:ln>
                      <a:noFill/>
                    </a:ln>
                    <a:solidFill>
                      <a:schemeClr val="dk1"/>
                    </a:solidFill>
                    <a:latin typeface="Trebuchet MS" panose="020B0603020202020204" pitchFamily="34" charset="0"/>
                    <a:ea typeface="+mn-ea"/>
                    <a:cs typeface="Trebuchet MS" panose="020B0603020202020204" pitchFamily="34" charset="0"/>
                  </a:rPr>
                  <a:t>QUANTITY SOLD</a:t>
                </a:r>
                <a:endParaRPr lang="en-US" sz="1800" b="1">
                  <a:ln>
                    <a:noFill/>
                  </a:ln>
                  <a:solidFill>
                    <a:schemeClr val="dk1"/>
                  </a:solidFill>
                  <a:latin typeface="Trebuchet MS" panose="020B0603020202020204" pitchFamily="34" charset="0"/>
                  <a:ea typeface="+mn-ea"/>
                  <a:cs typeface="Trebuchet MS" panose="020B0603020202020204" pitchFamily="34" charset="0"/>
                </a:endParaRPr>
              </a:p>
            </xdr:txBody>
          </xdr:sp>
          <xdr:sp textlink="Pivottable!J3">
            <xdr:nvSpPr>
              <xdr:cNvPr id="17" name="Text Box 12"/>
              <xdr:cNvSpPr txBox="1"/>
            </xdr:nvSpPr>
            <xdr:spPr>
              <a:xfrm>
                <a:off x="4896304" y="1390650"/>
                <a:ext cx="1999796" cy="9525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marL="0" indent="0" algn="l"/>
                <a:fld id="{B49A6BD9-4FBE-44C0-B5DA-08BD141BE8A0}" type="TxLink">
                  <a:rPr lang="en-US" sz="4000" b="1" i="0" u="none" strike="noStrike">
                    <a:solidFill>
                      <a:srgbClr val="000000"/>
                    </a:solidFill>
                    <a:latin typeface="Trebuchet MS" panose="020B0603020202020204" pitchFamily="34" charset="0"/>
                    <a:ea typeface="+mn-ea"/>
                    <a:cs typeface="Calibri" panose="020F0502020204030204"/>
                  </a:rPr>
                  <a:t> 1,410 </a:t>
                </a:fld>
                <a:endParaRPr lang="en-US" sz="4000" b="1" i="0" u="none" strike="noStrike">
                  <a:solidFill>
                    <a:srgbClr val="000000"/>
                  </a:solidFill>
                  <a:latin typeface="Trebuchet MS" panose="020B0603020202020204" pitchFamily="34" charset="0"/>
                  <a:ea typeface="+mn-ea"/>
                  <a:cs typeface="Calibri" panose="020F0502020204030204"/>
                </a:endParaRPr>
              </a:p>
            </xdr:txBody>
          </xdr:sp>
        </xdr:grpSp>
        <xdr:cxnSp>
          <xdr:nvCxnSpPr>
            <xdr:cNvPr id="56" name="Straight Connector 55"/>
            <xdr:cNvCxnSpPr/>
          </xdr:nvCxnSpPr>
          <xdr:spPr>
            <a:xfrm>
              <a:off x="13925550" y="2362200"/>
              <a:ext cx="0" cy="1485900"/>
            </a:xfrm>
            <a:prstGeom prst="line">
              <a:avLst/>
            </a:prstGeom>
            <a:ln>
              <a:solidFill>
                <a:schemeClr val="bg2">
                  <a:lumMod val="10000"/>
                </a:schemeClr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39" name="Group 38"/>
            <xdr:cNvGrpSpPr/>
          </xdr:nvGrpSpPr>
          <xdr:grpSpPr>
            <a:xfrm>
              <a:off x="14088836" y="2430340"/>
              <a:ext cx="2808514" cy="1341560"/>
              <a:chOff x="12945836" y="1079130"/>
              <a:chExt cx="2941864" cy="1258599"/>
            </a:xfrm>
          </xdr:grpSpPr>
          <xdr:sp>
            <xdr:nvSpPr>
              <xdr:cNvPr id="23" name="Rounded Rectangle 5"/>
              <xdr:cNvSpPr/>
            </xdr:nvSpPr>
            <xdr:spPr>
              <a:xfrm>
                <a:off x="12945836" y="1099457"/>
                <a:ext cx="2530800" cy="1220400"/>
              </a:xfrm>
              <a:prstGeom prst="roundRect">
                <a:avLst>
                  <a:gd name="adj" fmla="val 5447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>
                  <a:latin typeface="Trebuchet MS" panose="020B0603020202020204" pitchFamily="34" charset="0"/>
                </a:endParaRPr>
              </a:p>
            </xdr:txBody>
          </xdr:sp>
          <xdr:grpSp>
            <xdr:nvGrpSpPr>
              <xdr:cNvPr id="33" name="Group 32"/>
              <xdr:cNvGrpSpPr/>
            </xdr:nvGrpSpPr>
            <xdr:grpSpPr>
              <a:xfrm>
                <a:off x="13136328" y="1079130"/>
                <a:ext cx="2751372" cy="1258599"/>
                <a:chOff x="10355028" y="1060080"/>
                <a:chExt cx="2751372" cy="1258599"/>
              </a:xfrm>
            </xdr:grpSpPr>
            <xdr:sp>
              <xdr:nvSpPr>
                <xdr:cNvPr id="20" name="Text Box 12"/>
                <xdr:cNvSpPr txBox="1"/>
              </xdr:nvSpPr>
              <xdr:spPr>
                <a:xfrm>
                  <a:off x="10355028" y="1060080"/>
                  <a:ext cx="2751372" cy="329256"/>
                </a:xfrm>
                <a:prstGeom prst="rect">
                  <a:avLst/>
                </a:prstGeom>
                <a:grp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indent="0" algn="l"/>
                  <a:r>
                    <a:rPr lang="en-US" sz="1800" b="1">
                      <a:ln>
                        <a:noFill/>
                      </a:ln>
                      <a:solidFill>
                        <a:schemeClr val="dk1"/>
                      </a:solidFill>
                      <a:latin typeface="Trebuchet MS" panose="020B0603020202020204" pitchFamily="34" charset="0"/>
                      <a:ea typeface="+mn-ea"/>
                      <a:cs typeface="Trebuchet MS" panose="020B0603020202020204" pitchFamily="34" charset="0"/>
                    </a:rPr>
                    <a:t>AVG. SELLING PRICE</a:t>
                  </a:r>
                  <a:endParaRPr lang="en-US" sz="1800" b="1">
                    <a:ln>
                      <a:noFill/>
                    </a:ln>
                    <a:solidFill>
                      <a:schemeClr val="dk1"/>
                    </a:solidFill>
                    <a:latin typeface="Trebuchet MS" panose="020B0603020202020204" pitchFamily="34" charset="0"/>
                    <a:ea typeface="+mn-ea"/>
                    <a:cs typeface="Trebuchet MS" panose="020B0603020202020204" pitchFamily="34" charset="0"/>
                  </a:endParaRPr>
                </a:p>
              </xdr:txBody>
            </xdr:sp>
            <xdr:sp textlink="Pivottable!J5">
              <xdr:nvSpPr>
                <xdr:cNvPr id="21" name="Text Box 12"/>
                <xdr:cNvSpPr txBox="1"/>
              </xdr:nvSpPr>
              <xdr:spPr>
                <a:xfrm>
                  <a:off x="10771413" y="1478697"/>
                  <a:ext cx="1651906" cy="83998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>
                  <a:noAutofit/>
                </a:bodyPr>
                <a:lstStyle/>
                <a:p>
                  <a:pPr marL="0" indent="0" algn="l"/>
                  <a:fld id="{F76BB813-84B4-4075-B41A-D9D035B2B739}" type="TxLink">
                    <a:rPr lang="en-US" sz="4000" b="1" i="0" u="none" strike="noStrike">
                      <a:solidFill>
                        <a:srgbClr val="000000"/>
                      </a:solidFill>
                      <a:latin typeface="Trebuchet MS" panose="020B0603020202020204" pitchFamily="34" charset="0"/>
                      <a:ea typeface="+mn-ea"/>
                      <a:cs typeface="Calibri" panose="020F0502020204030204"/>
                    </a:rPr>
                    <a:t>910.3</a:t>
                  </a:fld>
                  <a:endParaRPr lang="en-US" sz="4000" b="1" i="0" u="none" strike="noStrike">
                    <a:solidFill>
                      <a:srgbClr val="000000"/>
                    </a:solidFill>
                    <a:latin typeface="Trebuchet MS" panose="020B0603020202020204" pitchFamily="34" charset="0"/>
                    <a:ea typeface="+mn-ea"/>
                    <a:cs typeface="Calibri" panose="020F0502020204030204"/>
                  </a:endParaRPr>
                </a:p>
              </xdr:txBody>
            </xdr:sp>
          </xdr:grpSp>
        </xdr:grpSp>
        <xdr:cxnSp>
          <xdr:nvCxnSpPr>
            <xdr:cNvPr id="57" name="Straight Connector 56"/>
            <xdr:cNvCxnSpPr/>
          </xdr:nvCxnSpPr>
          <xdr:spPr>
            <a:xfrm>
              <a:off x="16916400" y="2381250"/>
              <a:ext cx="0" cy="1485900"/>
            </a:xfrm>
            <a:prstGeom prst="line">
              <a:avLst/>
            </a:prstGeom>
            <a:ln>
              <a:solidFill>
                <a:schemeClr val="bg2">
                  <a:lumMod val="10000"/>
                </a:schemeClr>
              </a:solidFill>
              <a:prstDash val="sysDot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grpSp>
          <xdr:nvGrpSpPr>
            <xdr:cNvPr id="36" name="Group 35"/>
            <xdr:cNvGrpSpPr/>
          </xdr:nvGrpSpPr>
          <xdr:grpSpPr>
            <a:xfrm>
              <a:off x="16973550" y="2408282"/>
              <a:ext cx="3657600" cy="1242968"/>
              <a:chOff x="7258050" y="1074782"/>
              <a:chExt cx="3028949" cy="1242968"/>
            </a:xfrm>
          </xdr:grpSpPr>
          <xdr:sp>
            <xdr:nvSpPr>
              <xdr:cNvPr id="10" name="Rounded Rectangle 9"/>
              <xdr:cNvSpPr/>
            </xdr:nvSpPr>
            <xdr:spPr>
              <a:xfrm>
                <a:off x="7258050" y="1098550"/>
                <a:ext cx="2822121" cy="1219200"/>
              </a:xfrm>
              <a:prstGeom prst="roundRect">
                <a:avLst>
                  <a:gd name="adj" fmla="val 7291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lumMod val="75000"/>
                </a:schemeClr>
              </a:lnRef>
              <a:fillRef idx="1">
                <a:schemeClr val="accent1"/>
              </a:fillRef>
              <a:effectRef idx="0">
                <a:srgbClr val="FFFFFF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t"/>
              <a:lstStyle>
                <a:defPPr>
                  <a:defRPr lang="en-US">
                    <a:solidFill>
                      <a:schemeClr val="lt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l"/>
                <a:endParaRPr lang="en-US" sz="1100">
                  <a:latin typeface="Trebuchet MS" panose="020B0603020202020204" pitchFamily="34" charset="0"/>
                </a:endParaRPr>
              </a:p>
            </xdr:txBody>
          </xdr:sp>
          <xdr:sp>
            <xdr:nvSpPr>
              <xdr:cNvPr id="18" name="Text Box 12"/>
              <xdr:cNvSpPr txBox="1"/>
            </xdr:nvSpPr>
            <xdr:spPr>
              <a:xfrm>
                <a:off x="7437664" y="1074782"/>
                <a:ext cx="2525486" cy="430167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algn="l"/>
                <a:r>
                  <a:rPr lang="en-US" sz="1600" b="1">
                    <a:ln>
                      <a:noFill/>
                    </a:ln>
                    <a:latin typeface="Trebuchet MS" panose="020B0603020202020204" pitchFamily="34" charset="0"/>
                    <a:cs typeface="Trebuchet MS" panose="020B0603020202020204" pitchFamily="34" charset="0"/>
                  </a:rPr>
                  <a:t>TOP-SELLING</a:t>
                </a:r>
                <a:r>
                  <a:rPr lang="en-US" sz="1600" b="1" baseline="0">
                    <a:ln>
                      <a:noFill/>
                    </a:ln>
                    <a:latin typeface="Trebuchet MS" panose="020B0603020202020204" pitchFamily="34" charset="0"/>
                    <a:cs typeface="Trebuchet MS" panose="020B0603020202020204" pitchFamily="34" charset="0"/>
                  </a:rPr>
                  <a:t> PRODUCT</a:t>
                </a:r>
                <a:endParaRPr lang="en-US" sz="1600" b="1">
                  <a:ln>
                    <a:noFill/>
                  </a:ln>
                  <a:latin typeface="Trebuchet MS" panose="020B0603020202020204" pitchFamily="34" charset="0"/>
                  <a:cs typeface="Trebuchet MS" panose="020B0603020202020204" pitchFamily="34" charset="0"/>
                </a:endParaRPr>
              </a:p>
            </xdr:txBody>
          </xdr:sp>
          <xdr:sp textlink="Pivottable!J4">
            <xdr:nvSpPr>
              <xdr:cNvPr id="19" name="Text Box 12"/>
              <xdr:cNvSpPr txBox="1"/>
            </xdr:nvSpPr>
            <xdr:spPr>
              <a:xfrm>
                <a:off x="7555136" y="1458505"/>
                <a:ext cx="2731863" cy="77034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marL="0" indent="0" algn="l"/>
                <a:fld id="{5EDF1343-D40B-4490-B8D3-FC8969CA7163}" type="TxLink">
                  <a:rPr lang="en-US" sz="4000" b="1" i="0" u="none" strike="noStrike">
                    <a:solidFill>
                      <a:srgbClr val="000000"/>
                    </a:solidFill>
                    <a:latin typeface="Trebuchet MS" panose="020B0603020202020204" pitchFamily="34" charset="0"/>
                    <a:ea typeface="+mn-ea"/>
                    <a:cs typeface="Calibri" panose="020F0502020204030204"/>
                  </a:rPr>
                  <a:t>Toilet Paper</a:t>
                </a:fld>
                <a:endParaRPr lang="en-US" sz="4000" b="1" i="0" u="none" strike="noStrike">
                  <a:solidFill>
                    <a:srgbClr val="000000"/>
                  </a:solidFill>
                  <a:latin typeface="Trebuchet MS" panose="020B0603020202020204" pitchFamily="34" charset="0"/>
                  <a:ea typeface="+mn-ea"/>
                  <a:cs typeface="Calibri" panose="020F0502020204030204"/>
                </a:endParaRPr>
              </a:p>
            </xdr:txBody>
          </xdr:sp>
        </xdr:grpSp>
      </xdr:grpSp>
      <xdr:grpSp>
        <xdr:nvGrpSpPr>
          <xdr:cNvPr id="68" name="Group 67"/>
          <xdr:cNvGrpSpPr/>
        </xdr:nvGrpSpPr>
        <xdr:grpSpPr>
          <a:xfrm>
            <a:off x="657225" y="2336800"/>
            <a:ext cx="7058025" cy="6521450"/>
            <a:chOff x="514350" y="2451100"/>
            <a:chExt cx="6983186" cy="6521450"/>
          </a:xfrm>
        </xdr:grpSpPr>
        <xdr:sp>
          <xdr:nvSpPr>
            <xdr:cNvPr id="6" name="Rounded Rectangle 5"/>
            <xdr:cNvSpPr/>
          </xdr:nvSpPr>
          <xdr:spPr>
            <a:xfrm>
              <a:off x="514350" y="2451100"/>
              <a:ext cx="6983186" cy="6521450"/>
            </a:xfrm>
            <a:prstGeom prst="roundRect">
              <a:avLst>
                <a:gd name="adj" fmla="val 2818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lumMod val="75000"/>
              </a:schemeClr>
            </a:lnRef>
            <a:fillRef idx="1">
              <a:schemeClr val="accent1"/>
            </a:fillRef>
            <a:effectRef idx="0">
              <a:srgbClr val="FFFFFF"/>
            </a:effectRef>
            <a:fontRef idx="minor">
              <a:schemeClr val="lt1"/>
            </a:fontRef>
          </xdr:style>
          <xdr:txBody>
            <a:bodyPr vertOverflow="clip" horzOverflow="clip" wrap="square" rtlCol="0" anchor="t"/>
            <a:lstStyle>
              <a:defPPr>
                <a:defRPr lang="en-US">
                  <a:solidFill>
                    <a:schemeClr val="lt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endParaRPr lang="en-US" sz="1100">
                <a:latin typeface="Trebuchet MS" panose="020B0603020202020204" pitchFamily="34" charset="0"/>
              </a:endParaRPr>
            </a:p>
          </xdr:txBody>
        </xdr:sp>
        <xdr:sp>
          <xdr:nvSpPr>
            <xdr:cNvPr id="15" name="Text Box 12"/>
            <xdr:cNvSpPr txBox="1"/>
          </xdr:nvSpPr>
          <xdr:spPr>
            <a:xfrm>
              <a:off x="649366" y="7364003"/>
              <a:ext cx="1715413" cy="370311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l"/>
              <a:r>
                <a:rPr lang="en-US" sz="1600" b="1">
                  <a:ln>
                    <a:noFill/>
                  </a:ln>
                  <a:latin typeface="Trebuchet MS" panose="020B0603020202020204" pitchFamily="34" charset="0"/>
                  <a:cs typeface="Trebuchet MS" panose="020B0603020202020204" pitchFamily="34" charset="0"/>
                </a:rPr>
                <a:t>TOTAL SALES</a:t>
              </a:r>
              <a:endParaRPr lang="en-US" sz="1600" b="1">
                <a:ln>
                  <a:noFill/>
                </a:ln>
                <a:latin typeface="Trebuchet MS" panose="020B0603020202020204" pitchFamily="34" charset="0"/>
                <a:cs typeface="Trebuchet MS" panose="020B0603020202020204" pitchFamily="34" charset="0"/>
              </a:endParaRPr>
            </a:p>
          </xdr:txBody>
        </xdr:sp>
        <xdr:sp textlink="Pivottable!J2">
          <xdr:nvSpPr>
            <xdr:cNvPr id="14" name="Text Box 13"/>
            <xdr:cNvSpPr txBox="1"/>
          </xdr:nvSpPr>
          <xdr:spPr>
            <a:xfrm>
              <a:off x="3728358" y="7143751"/>
              <a:ext cx="3382434" cy="70757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>
              <a:noAutofit/>
            </a:bodyPr>
            <a:lstStyle/>
            <a:p>
              <a:pPr algn="l"/>
              <a:fld id="{F639A71F-67A7-4E81-BD39-50BB782C918C}" type="TxLink">
                <a:rPr lang="en-US" sz="4000" b="1" i="0" u="none" strike="noStrike">
                  <a:solidFill>
                    <a:srgbClr val="000000"/>
                  </a:solidFill>
                  <a:latin typeface="Trebuchet MS" panose="020B0603020202020204" pitchFamily="34" charset="0"/>
                  <a:cs typeface="Calibri" panose="020F0502020204030204"/>
                </a:rPr>
                <a:t> $1,284,773 </a:t>
              </a:fld>
              <a:endParaRPr lang="en-US" sz="4000" b="1">
                <a:latin typeface="Trebuchet MS" panose="020B0603020202020204" pitchFamily="34" charset="0"/>
              </a:endParaRPr>
            </a:p>
          </xdr:txBody>
        </xdr:sp>
        <xdr:grpSp>
          <xdr:nvGrpSpPr>
            <xdr:cNvPr id="61" name="Group 60"/>
            <xdr:cNvGrpSpPr/>
          </xdr:nvGrpSpPr>
          <xdr:grpSpPr>
            <a:xfrm>
              <a:off x="802821" y="2552700"/>
              <a:ext cx="2354036" cy="1162050"/>
              <a:chOff x="802821" y="2552700"/>
              <a:chExt cx="2354036" cy="1162050"/>
            </a:xfrm>
          </xdr:grpSpPr>
          <xdr:sp>
            <xdr:nvSpPr>
              <xdr:cNvPr id="58" name="TextBox 57"/>
              <xdr:cNvSpPr txBox="1"/>
            </xdr:nvSpPr>
            <xdr:spPr>
              <a:xfrm>
                <a:off x="802821" y="2552700"/>
                <a:ext cx="2354036" cy="372836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marL="0" indent="0" algn="l"/>
                <a:r>
                  <a:rPr lang="en-US" sz="1800" b="1">
                    <a:ln>
                      <a:noFill/>
                    </a:ln>
                    <a:solidFill>
                      <a:schemeClr val="dk1"/>
                    </a:solidFill>
                    <a:latin typeface="Trebuchet MS" panose="020B0603020202020204" pitchFamily="34" charset="0"/>
                    <a:ea typeface="+mn-ea"/>
                    <a:cs typeface="Trebuchet MS" panose="020B0603020202020204" pitchFamily="34" charset="0"/>
                  </a:rPr>
                  <a:t>CUSTOMERS</a:t>
                </a:r>
                <a:endParaRPr lang="en-US" sz="1800" b="1">
                  <a:ln>
                    <a:noFill/>
                  </a:ln>
                  <a:solidFill>
                    <a:schemeClr val="dk1"/>
                  </a:solidFill>
                  <a:latin typeface="Trebuchet MS" panose="020B0603020202020204" pitchFamily="34" charset="0"/>
                  <a:ea typeface="+mn-ea"/>
                  <a:cs typeface="Trebuchet MS" panose="020B0603020202020204" pitchFamily="34" charset="0"/>
                </a:endParaRPr>
              </a:p>
            </xdr:txBody>
          </xdr:sp>
          <xdr:sp textlink="Pivottable!J6">
            <xdr:nvSpPr>
              <xdr:cNvPr id="59" name="TextBox 58"/>
              <xdr:cNvSpPr txBox="1"/>
            </xdr:nvSpPr>
            <xdr:spPr>
              <a:xfrm>
                <a:off x="840921" y="2876550"/>
                <a:ext cx="1548493" cy="838200"/>
              </a:xfrm>
              <a:prstGeom prst="rect">
                <a:avLst/>
              </a:prstGeom>
              <a:grp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>
                <a:noAutofit/>
              </a:bodyPr>
              <a:lstStyle/>
              <a:p>
                <a:pPr marL="0" indent="0" algn="l"/>
                <a:fld id="{93FC4166-047B-4A9D-90BB-59603C82352F}" type="TxLink">
                  <a:rPr lang="en-US" sz="4800" b="1" i="0" u="none" strike="noStrike">
                    <a:solidFill>
                      <a:srgbClr val="000000"/>
                    </a:solidFill>
                    <a:latin typeface="Trebuchet MS" panose="020B0603020202020204" pitchFamily="34" charset="0"/>
                    <a:ea typeface="+mn-ea"/>
                    <a:cs typeface="Calibri" panose="020F0502020204030204"/>
                  </a:rPr>
                  <a:t>250</a:t>
                </a:fld>
                <a:endParaRPr lang="en-US" sz="4800" b="1" i="0" u="none" strike="noStrike">
                  <a:solidFill>
                    <a:srgbClr val="000000"/>
                  </a:solidFill>
                  <a:latin typeface="Trebuchet MS" panose="020B0603020202020204" pitchFamily="34" charset="0"/>
                  <a:ea typeface="+mn-ea"/>
                  <a:cs typeface="Calibri" panose="020F0502020204030204"/>
                </a:endParaRPr>
              </a:p>
            </xdr:txBody>
          </xdr:sp>
        </xdr:grpSp>
        <xdr:graphicFrame>
          <xdr:nvGraphicFramePr>
            <xdr:cNvPr id="60" name="Chart 59"/>
            <xdr:cNvGraphicFramePr/>
          </xdr:nvGraphicFramePr>
          <xdr:xfrm>
            <a:off x="1224643" y="3822699"/>
            <a:ext cx="5347607" cy="2980871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sp>
        <xdr:nvSpPr>
          <xdr:cNvPr id="72" name="Rectangle: Rounded Corners 71"/>
          <xdr:cNvSpPr/>
        </xdr:nvSpPr>
        <xdr:spPr>
          <a:xfrm>
            <a:off x="21955125" y="1349388"/>
            <a:ext cx="10890250" cy="11623661"/>
          </a:xfrm>
          <a:prstGeom prst="roundRect">
            <a:avLst>
              <a:gd name="adj" fmla="val 112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lumMod val="75000"/>
            </a:schemeClr>
          </a:lnRef>
          <a:fillRef idx="1">
            <a:schemeClr val="accent1"/>
          </a:fillRef>
          <a:effectRef idx="0">
            <a:srgbClr val="FFFFFF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pPr marL="0" indent="0" algn="l" defTabSz="914400" rtl="0" eaLnBrk="1" latinLnBrk="0" hangingPunct="1"/>
            <a:endParaRPr lang="en-US" sz="1100">
              <a:solidFill>
                <a:schemeClr val="lt1"/>
              </a:solidFill>
              <a:latin typeface="Trebuchet MS" panose="020B0603020202020204" pitchFamily="34" charset="0"/>
              <a:ea typeface="+mn-ea"/>
              <a:cs typeface="+mn-cs"/>
            </a:endParaRPr>
          </a:p>
        </xdr:txBody>
      </xdr:sp>
      <xdr:cxnSp>
        <xdr:nvCxnSpPr>
          <xdr:cNvPr id="73" name="Straight Connector 72"/>
          <xdr:cNvCxnSpPr/>
        </xdr:nvCxnSpPr>
        <xdr:spPr>
          <a:xfrm>
            <a:off x="23503890" y="6861810"/>
            <a:ext cx="7478375" cy="2907"/>
          </a:xfrm>
          <a:prstGeom prst="line">
            <a:avLst/>
          </a:prstGeom>
          <a:ln>
            <a:solidFill>
              <a:schemeClr val="bg2">
                <a:lumMod val="25000"/>
              </a:schemeClr>
            </a:solidFill>
            <a:prstDash val="sysDot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aphicFrame>
        <xdr:nvGraphicFramePr>
          <xdr:cNvPr id="74" name="Chart 73"/>
          <xdr:cNvGraphicFramePr/>
        </xdr:nvGraphicFramePr>
        <xdr:xfrm>
          <a:off x="7860665" y="4191014"/>
          <a:ext cx="6823710" cy="43814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>
        <xdr:nvSpPr>
          <xdr:cNvPr id="75" name="Rectangle: Rounded Corners 74"/>
          <xdr:cNvSpPr/>
        </xdr:nvSpPr>
        <xdr:spPr>
          <a:xfrm>
            <a:off x="15017751" y="8636000"/>
            <a:ext cx="6651625" cy="4286250"/>
          </a:xfrm>
          <a:prstGeom prst="roundRect">
            <a:avLst>
              <a:gd name="adj" fmla="val 2757"/>
            </a:avLst>
          </a:prstGeom>
          <a:solidFill>
            <a:schemeClr val="bg2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>
              <a:latin typeface="Trebuchet MS" panose="020B0603020202020204" pitchFamily="34" charset="0"/>
            </a:endParaRPr>
          </a:p>
        </xdr:txBody>
      </xdr:sp>
      <xdr:sp>
        <xdr:nvSpPr>
          <xdr:cNvPr id="76" name="TextBox 75"/>
          <xdr:cNvSpPr txBox="1"/>
        </xdr:nvSpPr>
        <xdr:spPr>
          <a:xfrm>
            <a:off x="15294083" y="8726988"/>
            <a:ext cx="6010895" cy="34438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sz="1100">
              <a:latin typeface="Trebuchet MS" panose="020B0603020202020204" pitchFamily="34" charset="0"/>
            </a:endParaRPr>
          </a:p>
          <a:p>
            <a:r>
              <a:rPr lang="en-US" sz="1600" b="1">
                <a:latin typeface="Trebuchet MS" panose="020B0603020202020204" pitchFamily="34" charset="0"/>
              </a:rPr>
              <a:t>INSIGHTS</a:t>
            </a:r>
            <a:r>
              <a:rPr lang="en-US" sz="1600" b="1" baseline="0">
                <a:latin typeface="Trebuchet MS" panose="020B0603020202020204" pitchFamily="34" charset="0"/>
              </a:rPr>
              <a:t> &amp; SUMMARY</a:t>
            </a:r>
            <a:endParaRPr lang="en-US" sz="1400" b="1" baseline="0">
              <a:latin typeface="Trebuchet MS" panose="020B0603020202020204" pitchFamily="34" charset="0"/>
            </a:endParaRPr>
          </a:p>
          <a:p>
            <a:endParaRPr lang="en-US" sz="1100" baseline="0">
              <a:latin typeface="Trebuchet MS" panose="020B0603020202020204" pitchFamily="34" charset="0"/>
            </a:endParaRPr>
          </a:p>
          <a:p>
            <a:endParaRPr lang="en-US" sz="110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r>
              <a:rPr lang="en-US" sz="1200" baseline="0">
                <a:latin typeface="Trebuchet MS" panose="020B0603020202020204" pitchFamily="34" charset="0"/>
              </a:rPr>
              <a:t>West region leads sales with </a:t>
            </a:r>
            <a:r>
              <a:rPr lang="en-US" sz="1200" b="1" baseline="0">
                <a:latin typeface="Trebuchet MS" panose="020B0603020202020204" pitchFamily="34" charset="0"/>
              </a:rPr>
              <a:t>$344.7K (27% of total revenue).</a:t>
            </a:r>
            <a:endParaRPr lang="en-US" sz="1200" b="1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endParaRPr lang="en-US" sz="1200" b="1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r>
              <a:rPr lang="en-US" sz="1200" b="1" baseline="0">
                <a:latin typeface="Trebuchet MS" panose="020B0603020202020204" pitchFamily="34" charset="0"/>
              </a:rPr>
              <a:t>Toilet Paper </a:t>
            </a:r>
            <a:r>
              <a:rPr lang="en-US" sz="1200" b="0" baseline="0">
                <a:latin typeface="Trebuchet MS" panose="020B0603020202020204" pitchFamily="34" charset="0"/>
              </a:rPr>
              <a:t>remains the </a:t>
            </a:r>
            <a:r>
              <a:rPr lang="en-US" sz="1200" b="1" baseline="0">
                <a:latin typeface="Trebuchet MS" panose="020B0603020202020204" pitchFamily="34" charset="0"/>
              </a:rPr>
              <a:t>Top-selling product, </a:t>
            </a:r>
            <a:r>
              <a:rPr lang="en-US" sz="1200" b="0" baseline="0">
                <a:latin typeface="Trebuchet MS" panose="020B0603020202020204" pitchFamily="34" charset="0"/>
              </a:rPr>
              <a:t>driving </a:t>
            </a:r>
            <a:r>
              <a:rPr lang="en-US" sz="1200" b="1" baseline="0">
                <a:latin typeface="Trebuchet MS" panose="020B0603020202020204" pitchFamily="34" charset="0"/>
              </a:rPr>
              <a:t>$197.7K </a:t>
            </a:r>
            <a:r>
              <a:rPr lang="en-US" sz="1200" b="0" baseline="0">
                <a:latin typeface="Trebuchet MS" panose="020B0603020202020204" pitchFamily="34" charset="0"/>
              </a:rPr>
              <a:t>in total sales and steady demand across regions.</a:t>
            </a:r>
            <a:endParaRPr lang="en-US" sz="12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endParaRPr lang="en-US" sz="12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r>
              <a:rPr lang="en-US" sz="1200" b="1" baseline="0">
                <a:latin typeface="Trebuchet MS" panose="020B0603020202020204" pitchFamily="34" charset="0"/>
              </a:rPr>
              <a:t>March </a:t>
            </a:r>
            <a:r>
              <a:rPr lang="en-US" sz="1200" b="0" baseline="0">
                <a:latin typeface="Trebuchet MS" panose="020B0603020202020204" pitchFamily="34" charset="0"/>
              </a:rPr>
              <a:t>recorded the </a:t>
            </a:r>
            <a:r>
              <a:rPr lang="en-US" sz="1200" b="1" baseline="0">
                <a:latin typeface="Trebuchet MS" panose="020B0603020202020204" pitchFamily="34" charset="0"/>
              </a:rPr>
              <a:t>peak monthly sales </a:t>
            </a:r>
            <a:r>
              <a:rPr lang="en-US" sz="1200" b="0" baseline="0">
                <a:latin typeface="Trebuchet MS" panose="020B0603020202020204" pitchFamily="34" charset="0"/>
              </a:rPr>
              <a:t>at </a:t>
            </a:r>
            <a:r>
              <a:rPr lang="en-US" sz="1200" b="1" baseline="0">
                <a:latin typeface="Trebuchet MS" panose="020B0603020202020204" pitchFamily="34" charset="0"/>
              </a:rPr>
              <a:t>$243.9K </a:t>
            </a:r>
            <a:r>
              <a:rPr lang="en-US" sz="1200" b="0" baseline="0">
                <a:latin typeface="Trebuchet MS" panose="020B0603020202020204" pitchFamily="34" charset="0"/>
              </a:rPr>
              <a:t>, while sales slightly dipped in May befpre recovering in June.</a:t>
            </a:r>
            <a:endParaRPr lang="en-US" sz="12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endParaRPr lang="en-US" sz="12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r>
              <a:rPr lang="en-US" sz="1200" b="1" baseline="0">
                <a:latin typeface="Trebuchet MS" panose="020B0603020202020204" pitchFamily="34" charset="0"/>
              </a:rPr>
              <a:t>John </a:t>
            </a:r>
            <a:r>
              <a:rPr lang="en-US" sz="1200" b="0" baseline="0">
                <a:latin typeface="Trebuchet MS" panose="020B0603020202020204" pitchFamily="34" charset="0"/>
              </a:rPr>
              <a:t>emerged as </a:t>
            </a:r>
            <a:r>
              <a:rPr lang="en-US" sz="1200" b="1" baseline="0">
                <a:latin typeface="Trebuchet MS" panose="020B0603020202020204" pitchFamily="34" charset="0"/>
              </a:rPr>
              <a:t>highest-value customer </a:t>
            </a:r>
            <a:r>
              <a:rPr lang="en-US" sz="1200" b="0" baseline="0">
                <a:latin typeface="Trebuchet MS" panose="020B0603020202020204" pitchFamily="34" charset="0"/>
              </a:rPr>
              <a:t>with purchases worth </a:t>
            </a:r>
            <a:r>
              <a:rPr lang="en-US" sz="1200" b="1" baseline="0">
                <a:latin typeface="Trebuchet MS" panose="020B0603020202020204" pitchFamily="34" charset="0"/>
              </a:rPr>
              <a:t>$156.3K </a:t>
            </a:r>
            <a:r>
              <a:rPr lang="en-US" sz="1200" b="0" baseline="0">
                <a:latin typeface="Trebuchet MS" panose="020B0603020202020204" pitchFamily="34" charset="0"/>
              </a:rPr>
              <a:t>, showingstrong repeat order behaviour.</a:t>
            </a:r>
            <a:endParaRPr lang="en-US" sz="12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endParaRPr lang="en-US" sz="12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r>
              <a:rPr lang="en-US" sz="1200" b="0" baseline="0">
                <a:latin typeface="Trebuchet MS" panose="020B0603020202020204" pitchFamily="34" charset="0"/>
              </a:rPr>
              <a:t>Overall, </a:t>
            </a:r>
            <a:r>
              <a:rPr lang="en-US" sz="1200" b="1" baseline="0">
                <a:latin typeface="Trebuchet MS" panose="020B0603020202020204" pitchFamily="34" charset="0"/>
              </a:rPr>
              <a:t>FastKart achieved $1.28M in total sales </a:t>
            </a:r>
            <a:r>
              <a:rPr lang="en-US" sz="1200" b="0" baseline="0">
                <a:latin typeface="Trebuchet MS" panose="020B0603020202020204" pitchFamily="34" charset="0"/>
              </a:rPr>
              <a:t> from </a:t>
            </a:r>
            <a:r>
              <a:rPr lang="en-US" sz="1200" b="1" baseline="0">
                <a:latin typeface="Trebuchet MS" panose="020B0603020202020204" pitchFamily="34" charset="0"/>
              </a:rPr>
              <a:t>1,410 items sold </a:t>
            </a:r>
            <a:r>
              <a:rPr lang="en-US" sz="1200" b="0" baseline="0">
                <a:latin typeface="Trebuchet MS" panose="020B0603020202020204" pitchFamily="34" charset="0"/>
              </a:rPr>
              <a:t>across </a:t>
            </a:r>
            <a:r>
              <a:rPr lang="en-US" sz="1200" b="1" baseline="0">
                <a:latin typeface="Trebuchet MS" panose="020B0603020202020204" pitchFamily="34" charset="0"/>
              </a:rPr>
              <a:t>250 customers, </a:t>
            </a:r>
            <a:r>
              <a:rPr lang="en-US" sz="1200" b="0" baseline="0">
                <a:latin typeface="Trebuchet MS" panose="020B0603020202020204" pitchFamily="34" charset="0"/>
              </a:rPr>
              <a:t>maintaining an </a:t>
            </a:r>
            <a:r>
              <a:rPr lang="en-US" sz="1200" b="1" baseline="0">
                <a:latin typeface="Trebuchet MS" panose="020B0603020202020204" pitchFamily="34" charset="0"/>
              </a:rPr>
              <a:t>average selling price of $910.3.</a:t>
            </a:r>
            <a:endParaRPr lang="en-US" sz="1200" b="1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endParaRPr lang="en-US" sz="1100" b="0" baseline="0">
              <a:latin typeface="Trebuchet MS" panose="020B0603020202020204" pitchFamily="34" charset="0"/>
            </a:endParaRPr>
          </a:p>
          <a:p>
            <a:pPr marL="171450" indent="-171450">
              <a:buFont typeface="Arial" panose="020B0604020202020204" pitchFamily="7" charset="0"/>
              <a:buChar char="•"/>
            </a:pPr>
            <a:endParaRPr lang="en-US" sz="1100" b="1" baseline="0">
              <a:latin typeface="Trebuchet MS" panose="020B0603020202020204" pitchFamily="34" charset="0"/>
            </a:endParaRPr>
          </a:p>
          <a:p>
            <a:endParaRPr lang="en-US" sz="1100">
              <a:latin typeface="Trebuchet MS" panose="020B0603020202020204" pitchFamily="34" charset="0"/>
            </a:endParaRPr>
          </a:p>
        </xdr:txBody>
      </xdr:sp>
      <xdr:graphicFrame>
        <xdr:nvGraphicFramePr>
          <xdr:cNvPr id="77" name="Chart 76"/>
          <xdr:cNvGraphicFramePr/>
        </xdr:nvGraphicFramePr>
        <xdr:xfrm>
          <a:off x="14883765" y="4194810"/>
          <a:ext cx="6912610" cy="43141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>
        <xdr:nvGraphicFramePr>
          <xdr:cNvPr id="79" name="Chart 78"/>
          <xdr:cNvGraphicFramePr/>
        </xdr:nvGraphicFramePr>
        <xdr:xfrm>
          <a:off x="21955125" y="1365264"/>
          <a:ext cx="10858500" cy="520698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>
        <xdr:nvGraphicFramePr>
          <xdr:cNvPr id="80" name="Chart 79"/>
          <xdr:cNvGraphicFramePr/>
        </xdr:nvGraphicFramePr>
        <xdr:xfrm>
          <a:off x="21986875" y="6908800"/>
          <a:ext cx="10858500" cy="60769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>
        <xdr:nvGraphicFramePr>
          <xdr:cNvPr id="82" name="Chart 81"/>
          <xdr:cNvGraphicFramePr/>
        </xdr:nvGraphicFramePr>
        <xdr:xfrm>
          <a:off x="7987665" y="8667750"/>
          <a:ext cx="6840038" cy="4286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graphicFrame>
        <xdr:nvGraphicFramePr>
          <xdr:cNvPr id="83" name="Chart 82"/>
          <xdr:cNvGraphicFramePr/>
        </xdr:nvGraphicFramePr>
        <xdr:xfrm>
          <a:off x="666750" y="9010649"/>
          <a:ext cx="7048500" cy="39671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</xdr:grpSp>
    <xdr:clientData/>
  </xdr:twoCellAnchor>
  <xdr:twoCellAnchor editAs="oneCell">
    <xdr:from>
      <xdr:col>46</xdr:col>
      <xdr:colOff>309566</xdr:colOff>
      <xdr:row>4</xdr:row>
      <xdr:rowOff>77547</xdr:rowOff>
    </xdr:from>
    <xdr:to>
      <xdr:col>54</xdr:col>
      <xdr:colOff>490519</xdr:colOff>
      <xdr:row>9</xdr:row>
      <xdr:rowOff>166687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50845" y="839470"/>
              <a:ext cx="5057775" cy="1041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35.7101736111" refreshedBy="HP" recordCount="250">
  <cacheSource type="worksheet">
    <worksheetSource ref="A1:K251" sheet="Order_Sheet"/>
  </cacheSource>
  <cacheFields count="11">
    <cacheField name="Customer Name" numFmtId="0">
      <sharedItems count="10">
        <s v="Aisha"/>
        <s v="Ngozi"/>
        <s v="Amaka"/>
        <s v="Uche"/>
        <s v="John"/>
        <s v="David"/>
        <s v="Tolu"/>
        <s v="Bola"/>
        <s v="Blessing"/>
        <s v="Emeka"/>
      </sharedItems>
    </cacheField>
    <cacheField name="Product Category" numFmtId="0">
      <sharedItems count="10">
        <s v="Toilet Paper"/>
        <s v="Yam Flour"/>
        <s v="Cereal"/>
        <s v="Sardine"/>
        <s v="Garri"/>
        <s v="Cooking Oil"/>
        <s v="Soap"/>
        <s v="Spaghetti"/>
        <s v="Detergent"/>
        <s v="Milk"/>
      </sharedItems>
    </cacheField>
    <cacheField name="Region" numFmtId="0">
      <sharedItems count="4">
        <s v="North"/>
        <s v="West"/>
        <s v="East"/>
        <s v="South"/>
      </sharedItems>
    </cacheField>
    <cacheField name="Month" numFmtId="0">
      <sharedItems count="6">
        <s v="June"/>
        <s v="January"/>
        <s v="February"/>
        <s v="April"/>
        <s v="March"/>
        <s v="May"/>
      </sharedItems>
    </cacheField>
    <cacheField name="Order Date" numFmtId="183">
      <sharedItems containsSemiMixedTypes="0" containsString="0" containsNonDate="0" containsDate="1" minDate="2024-01-01T00:00:00" maxDate="2024-06-29T00:00:00" count="141">
        <d v="2024-06-13T00:00:00"/>
        <d v="2024-01-03T00:00:00"/>
        <d v="2024-02-15T00:00:00"/>
        <d v="2024-04-06T00:00:00"/>
        <d v="2024-01-06T00:00:00"/>
        <d v="2024-02-09T00:00:00"/>
        <d v="2024-03-19T00:00:00"/>
        <d v="2024-02-07T00:00:00"/>
        <d v="2024-06-23T00:00:00"/>
        <d v="2024-06-14T00:00:00"/>
        <d v="2024-05-20T00:00:00"/>
        <d v="2024-01-19T00:00:00"/>
        <d v="2024-01-31T00:00:00"/>
        <d v="2024-05-03T00:00:00"/>
        <d v="2024-03-13T00:00:00"/>
        <d v="2024-06-04T00:00:00"/>
        <d v="2024-04-02T00:00:00"/>
        <d v="2024-03-06T00:00:00"/>
        <d v="2024-03-31T00:00:00"/>
        <d v="2024-06-06T00:00:00"/>
        <d v="2024-03-09T00:00:00"/>
        <d v="2024-01-07T00:00:00"/>
        <d v="2024-05-11T00:00:00"/>
        <d v="2024-05-29T00:00:00"/>
        <d v="2024-05-07T00:00:00"/>
        <d v="2024-02-20T00:00:00"/>
        <d v="2024-06-26T00:00:00"/>
        <d v="2024-04-05T00:00:00"/>
        <d v="2024-03-15T00:00:00"/>
        <d v="2024-03-02T00:00:00"/>
        <d v="2024-06-28T00:00:00"/>
        <d v="2024-06-24T00:00:00"/>
        <d v="2024-05-09T00:00:00"/>
        <d v="2024-05-01T00:00:00"/>
        <d v="2024-04-21T00:00:00"/>
        <d v="2024-05-02T00:00:00"/>
        <d v="2024-05-08T00:00:00"/>
        <d v="2024-03-24T00:00:00"/>
        <d v="2024-03-14T00:00:00"/>
        <d v="2024-06-29T00:00:00"/>
        <d v="2024-03-07T00:00:00"/>
        <d v="2024-01-21T00:00:00"/>
        <d v="2024-04-23T00:00:00"/>
        <d v="2024-01-22T00:00:00"/>
        <d v="2024-04-22T00:00:00"/>
        <d v="2024-05-24T00:00:00"/>
        <d v="2024-06-08T00:00:00"/>
        <d v="2024-01-20T00:00:00"/>
        <d v="2024-03-08T00:00:00"/>
        <d v="2024-06-02T00:00:00"/>
        <d v="2024-02-12T00:00:00"/>
        <d v="2024-06-10T00:00:00"/>
        <d v="2024-04-28T00:00:00"/>
        <d v="2024-02-10T00:00:00"/>
        <d v="2024-03-10T00:00:00"/>
        <d v="2024-06-21T00:00:00"/>
        <d v="2024-03-03T00:00:00"/>
        <d v="2024-04-25T00:00:00"/>
        <d v="2024-03-25T00:00:00"/>
        <d v="2024-04-01T00:00:00"/>
        <d v="2024-04-14T00:00:00"/>
        <d v="2024-01-14T00:00:00"/>
        <d v="2024-03-12T00:00:00"/>
        <d v="2024-05-04T00:00:00"/>
        <d v="2024-04-20T00:00:00"/>
        <d v="2024-02-05T00:00:00"/>
        <d v="2024-05-19T00:00:00"/>
        <d v="2024-01-27T00:00:00"/>
        <d v="2024-03-05T00:00:00"/>
        <d v="2024-02-08T00:00:00"/>
        <d v="2024-05-14T00:00:00"/>
        <d v="2024-04-13T00:00:00"/>
        <d v="2024-05-16T00:00:00"/>
        <d v="2024-02-01T00:00:00"/>
        <d v="2024-05-13T00:00:00"/>
        <d v="2024-03-16T00:00:00"/>
        <d v="2024-05-21T00:00:00"/>
        <d v="2024-02-25T00:00:00"/>
        <d v="2024-03-29T00:00:00"/>
        <d v="2024-05-10T00:00:00"/>
        <d v="2024-02-24T00:00:00"/>
        <d v="2024-01-11T00:00:00"/>
        <d v="2024-04-12T00:00:00"/>
        <d v="2024-03-21T00:00:00"/>
        <d v="2024-04-15T00:00:00"/>
        <d v="2024-01-30T00:00:00"/>
        <d v="2024-02-27T00:00:00"/>
        <d v="2024-05-12T00:00:00"/>
        <d v="2024-04-18T00:00:00"/>
        <d v="2024-02-19T00:00:00"/>
        <d v="2024-06-15T00:00:00"/>
        <d v="2024-01-24T00:00:00"/>
        <d v="2024-02-14T00:00:00"/>
        <d v="2024-01-01T00:00:00"/>
        <d v="2024-06-12T00:00:00"/>
        <d v="2024-01-28T00:00:00"/>
        <d v="2024-06-07T00:00:00"/>
        <d v="2024-02-16T00:00:00"/>
        <d v="2024-04-10T00:00:00"/>
        <d v="2024-02-26T00:00:00"/>
        <d v="2024-05-28T00:00:00"/>
        <d v="2024-04-07T00:00:00"/>
        <d v="2024-02-04T00:00:00"/>
        <d v="2024-01-18T00:00:00"/>
        <d v="2024-01-23T00:00:00"/>
        <d v="2024-06-01T00:00:00"/>
        <d v="2024-05-25T00:00:00"/>
        <d v="2024-02-11T00:00:00"/>
        <d v="2024-06-18T00:00:00"/>
        <d v="2024-02-18T00:00:00"/>
        <d v="2024-04-16T00:00:00"/>
        <d v="2024-02-13T00:00:00"/>
        <d v="2024-06-19T00:00:00"/>
        <d v="2024-03-17T00:00:00"/>
        <d v="2024-03-18T00:00:00"/>
        <d v="2024-01-17T00:00:00"/>
        <d v="2024-02-17T00:00:00"/>
        <d v="2024-04-09T00:00:00"/>
        <d v="2024-03-20T00:00:00"/>
        <d v="2024-02-02T00:00:00"/>
        <d v="2024-03-30T00:00:00"/>
        <d v="2024-03-22T00:00:00"/>
        <d v="2024-01-16T00:00:00"/>
        <d v="2024-05-23T00:00:00"/>
        <d v="2024-06-05T00:00:00"/>
        <d v="2024-05-30T00:00:00"/>
        <d v="2024-04-08T00:00:00"/>
        <d v="2024-03-28T00:00:00"/>
        <d v="2024-06-20T00:00:00"/>
        <d v="2024-06-16T00:00:00"/>
        <d v="2024-02-22T00:00:00"/>
        <d v="2024-01-25T00:00:00"/>
        <d v="2024-06-22T00:00:00"/>
        <d v="2024-01-09T00:00:00"/>
        <d v="2024-01-08T00:00:00"/>
        <d v="2024-06-27T00:00:00"/>
        <d v="2024-04-11T00:00:00"/>
        <d v="2024-04-30T00:00:00"/>
        <d v="2024-01-05T00:00:00"/>
        <d v="2024-03-01T00:00:00"/>
        <d v="2024-03-27T00:00:00"/>
      </sharedItems>
    </cacheField>
    <cacheField name="Weekday" numFmtId="1">
      <sharedItems containsSemiMixedTypes="0" containsString="0" containsNumber="1" containsInteger="1" minValue="0" maxValue="7" count="7">
        <n v="5"/>
        <n v="4"/>
        <n v="7"/>
        <n v="6"/>
        <n v="3"/>
        <n v="1"/>
        <n v="2"/>
      </sharedItems>
    </cacheField>
    <cacheField name="Present Date" numFmtId="58">
      <sharedItems containsSemiMixedTypes="0" containsString="0" containsNonDate="0" containsDate="1" minDate="2025-10-05T00:00:00" maxDate="2025-10-05T00:00:00" count="1">
        <d v="2025-10-05T00:00:00"/>
      </sharedItems>
    </cacheField>
    <cacheField name="Quantity" numFmtId="0">
      <sharedItems containsSemiMixedTypes="0" containsString="0" containsNumber="1" containsInteger="1" minValue="0" maxValue="10" count="10">
        <n v="3"/>
        <n v="2"/>
        <n v="10"/>
        <n v="1"/>
        <n v="7"/>
        <n v="5"/>
        <n v="6"/>
        <n v="4"/>
        <n v="8"/>
        <n v="9"/>
      </sharedItems>
    </cacheField>
    <cacheField name="Unit Price" numFmtId="184">
      <sharedItems containsSemiMixedTypes="0" containsString="0" containsNumber="1" containsInteger="1" minValue="0" maxValue="1500" count="220">
        <n v="1448"/>
        <n v="1266"/>
        <n v="845"/>
        <n v="769"/>
        <n v="706"/>
        <n v="586"/>
        <n v="526"/>
        <n v="1465"/>
        <n v="369"/>
        <n v="1492"/>
        <n v="755"/>
        <n v="1127"/>
        <n v="1033"/>
        <n v="642"/>
        <n v="665"/>
        <n v="983"/>
        <n v="663"/>
        <n v="477"/>
        <n v="740"/>
        <n v="479"/>
        <n v="1017"/>
        <n v="1114"/>
        <n v="1125"/>
        <n v="1374"/>
        <n v="1362"/>
        <n v="1039"/>
        <n v="636"/>
        <n v="1099"/>
        <n v="1083"/>
        <n v="760"/>
        <n v="559"/>
        <n v="365"/>
        <n v="449"/>
        <n v="407"/>
        <n v="1462"/>
        <n v="766"/>
        <n v="749"/>
        <n v="362"/>
        <n v="1077"/>
        <n v="1353"/>
        <n v="436"/>
        <n v="705"/>
        <n v="895"/>
        <n v="1130"/>
        <n v="1023"/>
        <n v="861"/>
        <n v="1046"/>
        <n v="1429"/>
        <n v="1126"/>
        <n v="676"/>
        <n v="688"/>
        <n v="789"/>
        <n v="373"/>
        <n v="1286"/>
        <n v="852"/>
        <n v="1227"/>
        <n v="1299"/>
        <n v="830"/>
        <n v="606"/>
        <n v="970"/>
        <n v="1340"/>
        <n v="1495"/>
        <n v="1389"/>
        <n v="395"/>
        <n v="1118"/>
        <n v="979"/>
        <n v="677"/>
        <n v="1012"/>
        <n v="1232"/>
        <n v="836"/>
        <n v="1152"/>
        <n v="1318"/>
        <n v="870"/>
        <n v="701"/>
        <n v="518"/>
        <n v="643"/>
        <n v="577"/>
        <n v="505"/>
        <n v="1500"/>
        <n v="520"/>
        <n v="1247"/>
        <n v="1187"/>
        <n v="1450"/>
        <n v="1424"/>
        <n v="347"/>
        <n v="1181"/>
        <n v="491"/>
        <n v="1408"/>
        <n v="632"/>
        <n v="821"/>
        <n v="931"/>
        <n v="595"/>
        <n v="441"/>
        <n v="1236"/>
        <n v="713"/>
        <n v="1034"/>
        <n v="1159"/>
        <n v="827"/>
        <n v="309"/>
        <n v="618"/>
        <n v="1300"/>
        <n v="1092"/>
        <n v="737"/>
        <n v="1093"/>
        <n v="901"/>
        <n v="764"/>
        <n v="1458"/>
        <n v="847"/>
        <n v="671"/>
        <n v="762"/>
        <n v="651"/>
        <n v="308"/>
        <n v="1192"/>
        <n v="337"/>
        <n v="445"/>
        <n v="954"/>
        <n v="334"/>
        <n v="409"/>
        <n v="1394"/>
        <n v="453"/>
        <n v="431"/>
        <n v="1185"/>
        <n v="410"/>
        <n v="346"/>
        <n v="644"/>
        <n v="574"/>
        <n v="761"/>
        <n v="548"/>
        <n v="535"/>
        <n v="1088"/>
        <n v="504"/>
        <n v="1217"/>
        <n v="803"/>
        <n v="775"/>
        <n v="799"/>
        <n v="1269"/>
        <n v="1153"/>
        <n v="991"/>
        <n v="1278"/>
        <n v="711"/>
        <n v="1154"/>
        <n v="1357"/>
        <n v="1100"/>
        <n v="833"/>
        <n v="1195"/>
        <n v="523"/>
        <n v="1267"/>
        <n v="1297"/>
        <n v="1433"/>
        <n v="361"/>
        <n v="1248"/>
        <n v="1243"/>
        <n v="1291"/>
        <n v="791"/>
        <n v="1240"/>
        <n v="466"/>
        <n v="714"/>
        <n v="1110"/>
        <n v="1050"/>
        <n v="336"/>
        <n v="1332"/>
        <n v="1104"/>
        <n v="1386"/>
        <n v="1468"/>
        <n v="1044"/>
        <n v="1045"/>
        <n v="732"/>
        <n v="1310"/>
        <n v="858"/>
        <n v="420"/>
        <n v="1328"/>
        <n v="1249"/>
        <n v="1301"/>
        <n v="1341"/>
        <n v="805"/>
        <n v="1373"/>
        <n v="414"/>
        <n v="637"/>
        <n v="318"/>
        <n v="859"/>
        <n v="784"/>
        <n v="1302"/>
        <n v="825"/>
        <n v="615"/>
        <n v="981"/>
        <n v="1281"/>
        <n v="1251"/>
        <n v="598"/>
        <n v="1451"/>
        <n v="1207"/>
        <n v="379"/>
        <n v="1372"/>
        <n v="1367"/>
        <n v="464"/>
        <n v="1209"/>
        <n v="869"/>
        <n v="832"/>
        <n v="626"/>
        <n v="1065"/>
        <n v="909"/>
        <n v="469"/>
        <n v="1257"/>
        <n v="964"/>
        <n v="364"/>
        <n v="1141"/>
        <n v="621"/>
        <n v="1494"/>
        <n v="486"/>
        <n v="1016"/>
        <n v="567"/>
        <n v="1456"/>
        <n v="348"/>
        <n v="460"/>
        <n v="325"/>
        <n v="350"/>
        <n v="912"/>
        <n v="497"/>
        <n v="795"/>
        <n v="1279"/>
        <n v="945"/>
      </sharedItems>
    </cacheField>
    <cacheField name="Total Sales" numFmtId="184">
      <sharedItems containsSemiMixedTypes="0" containsString="0" containsNumber="1" containsInteger="1" minValue="0" maxValue="14500" count="243">
        <n v="4344"/>
        <n v="2532"/>
        <n v="8450"/>
        <n v="769"/>
        <n v="4942"/>
        <n v="2930"/>
        <n v="3156"/>
        <n v="8790"/>
        <n v="1476"/>
        <n v="7460"/>
        <n v="5285"/>
        <n v="3381"/>
        <n v="1033"/>
        <n v="3852"/>
        <n v="2660"/>
        <n v="4915"/>
        <n v="2652"/>
        <n v="4770"/>
        <n v="4440"/>
        <n v="2395"/>
        <n v="1017"/>
        <n v="8912"/>
        <n v="10125"/>
        <n v="6870"/>
        <n v="6810"/>
        <n v="4156"/>
        <n v="636"/>
        <n v="9891"/>
        <n v="7581"/>
        <n v="1520"/>
        <n v="3354"/>
        <n v="1460"/>
        <n v="3592"/>
        <n v="2035"/>
        <n v="2924"/>
        <n v="7660"/>
        <n v="749"/>
        <n v="2534"/>
        <n v="8616"/>
        <n v="9471"/>
        <n v="1744"/>
        <n v="1410"/>
        <n v="8950"/>
        <n v="6780"/>
        <n v="6138"/>
        <n v="6888"/>
        <n v="1046"/>
        <n v="14290"/>
        <n v="2252"/>
        <n v="1352"/>
        <n v="4128"/>
        <n v="1578"/>
        <n v="1865"/>
        <n v="10288"/>
        <n v="6816"/>
        <n v="7325"/>
        <n v="12270"/>
        <n v="12990"/>
        <n v="8300"/>
        <n v="3030"/>
        <n v="5820"/>
        <n v="12060"/>
        <n v="7475"/>
        <n v="13890"/>
        <n v="1975"/>
        <n v="4472"/>
        <n v="4895"/>
        <n v="2708"/>
        <n v="3036"/>
        <n v="12320"/>
        <n v="2508"/>
        <n v="3456"/>
        <n v="11862"/>
        <n v="870"/>
        <n v="2103"/>
        <n v="4662"/>
        <n v="3215"/>
        <n v="5770"/>
        <n v="2525"/>
        <n v="3000"/>
        <n v="4160"/>
        <n v="3741"/>
        <n v="7122"/>
        <n v="14500"/>
        <n v="9968"/>
        <n v="1735"/>
        <n v="1181"/>
        <n v="3928"/>
        <n v="5632"/>
        <n v="5056"/>
        <n v="6568"/>
        <n v="5586"/>
        <n v="5950"/>
        <n v="3087"/>
        <n v="2472"/>
        <n v="713"/>
        <n v="6204"/>
        <n v="9272"/>
        <n v="4962"/>
        <n v="618"/>
        <n v="1236"/>
        <n v="1300"/>
        <n v="8736"/>
        <n v="4422"/>
        <n v="6558"/>
        <n v="9010"/>
        <n v="7640"/>
        <n v="13122"/>
        <n v="6776"/>
        <n v="6039"/>
        <n v="7620"/>
        <n v="6510"/>
        <n v="2772"/>
        <n v="9536"/>
        <n v="1011"/>
        <n v="3560"/>
        <n v="5724"/>
        <n v="1670"/>
        <n v="2454"/>
        <n v="12546"/>
        <n v="3171"/>
        <n v="862"/>
        <n v="8295"/>
        <n v="3280"/>
        <n v="3114"/>
        <n v="3864"/>
        <n v="5740"/>
        <n v="3044"/>
        <n v="4932"/>
        <n v="2140"/>
        <n v="9792"/>
        <n v="1512"/>
        <n v="9736"/>
        <n v="8030"/>
        <n v="2325"/>
        <n v="1598"/>
        <n v="8883"/>
        <n v="8071"/>
        <n v="4955"/>
        <n v="7668"/>
        <n v="7152"/>
        <n v="3954"/>
        <n v="9310"/>
        <n v="7110"/>
        <n v="6924"/>
        <n v="2714"/>
        <n v="3300"/>
        <n v="7497"/>
        <n v="1118"/>
        <n v="10755"/>
        <n v="4184"/>
        <n v="12670"/>
        <n v="11502"/>
        <n v="9079"/>
        <n v="12897"/>
        <n v="2166"/>
        <n v="4992"/>
        <n v="6215"/>
        <n v="5760"/>
        <n v="5164"/>
        <n v="4746"/>
        <n v="12400"/>
        <n v="3262"/>
        <n v="3570"/>
        <n v="11100"/>
        <n v="2100"/>
        <n v="1680"/>
        <n v="5328"/>
        <n v="3312"/>
        <n v="5544"/>
        <n v="1450"/>
        <n v="13212"/>
        <n v="1302"/>
        <n v="7308"/>
        <n v="6270"/>
        <n v="2196"/>
        <n v="2620"/>
        <n v="8580"/>
        <n v="420"/>
        <n v="6640"/>
        <n v="2498"/>
        <n v="2602"/>
        <n v="1341"/>
        <n v="4025"/>
        <n v="13730"/>
        <n v="409"/>
        <n v="2740"/>
        <n v="6688"/>
        <n v="414"/>
        <n v="6370"/>
        <n v="5124"/>
        <n v="7302"/>
        <n v="2226"/>
        <n v="859"/>
        <n v="6705"/>
        <n v="1568"/>
        <n v="5208"/>
        <n v="8250"/>
        <n v="2460"/>
        <n v="7848"/>
        <n v="7686"/>
        <n v="3753"/>
        <n v="3459"/>
        <n v="3385"/>
        <n v="4186"/>
        <n v="8706"/>
        <n v="10863"/>
        <n v="379"/>
        <n v="2744"/>
        <n v="9569"/>
        <n v="1137"/>
        <n v="2885"/>
        <n v="3712"/>
        <n v="6045"/>
        <n v="3476"/>
        <n v="8320"/>
        <n v="1252"/>
        <n v="2130"/>
        <n v="909"/>
        <n v="2814"/>
        <n v="8799"/>
        <n v="3856"/>
        <n v="1456"/>
        <n v="3051"/>
        <n v="7987"/>
        <n v="4347"/>
        <n v="1494"/>
        <n v="2916"/>
        <n v="7130"/>
        <n v="2032"/>
        <n v="2835"/>
        <n v="6309"/>
        <n v="2912"/>
        <n v="1392"/>
        <n v="920"/>
        <n v="975"/>
        <n v="11608"/>
        <n v="700"/>
        <n v="912"/>
        <n v="4473"/>
        <n v="3975"/>
        <n v="12790"/>
        <n v="6615"/>
      </sharedItems>
    </cacheField>
    <cacheField name="Average Seling Price (ASP)" numFmtId="184">
      <sharedItems containsSemiMixedTypes="0" containsString="0" containsNumber="1" containsInteger="1" minValue="0" maxValue="1500" count="220">
        <n v="1448"/>
        <n v="1266"/>
        <n v="845"/>
        <n v="769"/>
        <n v="706"/>
        <n v="586"/>
        <n v="526"/>
        <n v="1465"/>
        <n v="369"/>
        <n v="1492"/>
        <n v="755"/>
        <n v="1127"/>
        <n v="1033"/>
        <n v="642"/>
        <n v="665"/>
        <n v="983"/>
        <n v="663"/>
        <n v="477"/>
        <n v="740"/>
        <n v="479"/>
        <n v="1017"/>
        <n v="1114"/>
        <n v="1125"/>
        <n v="1374"/>
        <n v="1362"/>
        <n v="1039"/>
        <n v="636"/>
        <n v="1099"/>
        <n v="1083"/>
        <n v="760"/>
        <n v="559"/>
        <n v="365"/>
        <n v="449"/>
        <n v="407"/>
        <n v="1462"/>
        <n v="766"/>
        <n v="749"/>
        <n v="362"/>
        <n v="1077"/>
        <n v="1353"/>
        <n v="436"/>
        <n v="705"/>
        <n v="895"/>
        <n v="1130"/>
        <n v="1023"/>
        <n v="861"/>
        <n v="1046"/>
        <n v="1429"/>
        <n v="1126"/>
        <n v="676"/>
        <n v="688"/>
        <n v="789"/>
        <n v="373"/>
        <n v="1286"/>
        <n v="852"/>
        <n v="1227"/>
        <n v="1299"/>
        <n v="830"/>
        <n v="606"/>
        <n v="970"/>
        <n v="1340"/>
        <n v="1495"/>
        <n v="1389"/>
        <n v="395"/>
        <n v="1118"/>
        <n v="979"/>
        <n v="677"/>
        <n v="1012"/>
        <n v="1232"/>
        <n v="836"/>
        <n v="1152"/>
        <n v="1318"/>
        <n v="870"/>
        <n v="701"/>
        <n v="518"/>
        <n v="643"/>
        <n v="577"/>
        <n v="505"/>
        <n v="1500"/>
        <n v="520"/>
        <n v="1247"/>
        <n v="1187"/>
        <n v="1450"/>
        <n v="1424"/>
        <n v="347"/>
        <n v="1181"/>
        <n v="491"/>
        <n v="1408"/>
        <n v="632"/>
        <n v="821"/>
        <n v="931"/>
        <n v="595"/>
        <n v="441"/>
        <n v="1236"/>
        <n v="713"/>
        <n v="1034"/>
        <n v="1159"/>
        <n v="827"/>
        <n v="309"/>
        <n v="618"/>
        <n v="1300"/>
        <n v="1092"/>
        <n v="737"/>
        <n v="1093"/>
        <n v="901"/>
        <n v="764"/>
        <n v="1458"/>
        <n v="847"/>
        <n v="671"/>
        <n v="762"/>
        <n v="651"/>
        <n v="308"/>
        <n v="1192"/>
        <n v="337"/>
        <n v="445"/>
        <n v="954"/>
        <n v="334"/>
        <n v="409"/>
        <n v="1394"/>
        <n v="453"/>
        <n v="431"/>
        <n v="1185"/>
        <n v="410"/>
        <n v="346"/>
        <n v="644"/>
        <n v="574"/>
        <n v="761"/>
        <n v="548"/>
        <n v="535"/>
        <n v="1088"/>
        <n v="504"/>
        <n v="1217"/>
        <n v="803"/>
        <n v="775"/>
        <n v="799"/>
        <n v="1269"/>
        <n v="1153"/>
        <n v="991"/>
        <n v="1278"/>
        <n v="711"/>
        <n v="1154"/>
        <n v="1357"/>
        <n v="1100"/>
        <n v="833"/>
        <n v="1195"/>
        <n v="523"/>
        <n v="1267"/>
        <n v="1297"/>
        <n v="1433"/>
        <n v="361"/>
        <n v="1248"/>
        <n v="1243"/>
        <n v="1291"/>
        <n v="791"/>
        <n v="1240"/>
        <n v="466"/>
        <n v="714"/>
        <n v="1110"/>
        <n v="1050"/>
        <n v="336"/>
        <n v="1332"/>
        <n v="1104"/>
        <n v="1386"/>
        <n v="1468"/>
        <n v="1044"/>
        <n v="1045"/>
        <n v="732"/>
        <n v="1310"/>
        <n v="858"/>
        <n v="420"/>
        <n v="1328"/>
        <n v="1249"/>
        <n v="1301"/>
        <n v="1341"/>
        <n v="805"/>
        <n v="1373"/>
        <n v="414"/>
        <n v="637"/>
        <n v="318"/>
        <n v="859"/>
        <n v="784"/>
        <n v="1302"/>
        <n v="825"/>
        <n v="615"/>
        <n v="981"/>
        <n v="1281"/>
        <n v="1251"/>
        <n v="598"/>
        <n v="1451"/>
        <n v="1207"/>
        <n v="379"/>
        <n v="1372"/>
        <n v="1367"/>
        <n v="464"/>
        <n v="1209"/>
        <n v="869"/>
        <n v="832"/>
        <n v="626"/>
        <n v="1065"/>
        <n v="909"/>
        <n v="469"/>
        <n v="1257"/>
        <n v="964"/>
        <n v="364"/>
        <n v="1141"/>
        <n v="621"/>
        <n v="1494"/>
        <n v="486"/>
        <n v="1016"/>
        <n v="567"/>
        <n v="1456"/>
        <n v="348"/>
        <n v="460"/>
        <n v="325"/>
        <n v="350"/>
        <n v="912"/>
        <n v="497"/>
        <n v="795"/>
        <n v="1279"/>
        <n v="945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7" refreshedVersion="7" minRefreshableVersion="3" refreshedDate="45939.9034015046" refreshedBy="HP" recordCount="250">
  <cacheSource type="worksheet">
    <worksheetSource name="Order_Sheet"/>
  </cacheSource>
  <cacheFields count="11">
    <cacheField name="Customer Name" numFmtId="0"/>
    <cacheField name="Product Category" numFmtId="0"/>
    <cacheField name="Region" numFmtId="0"/>
    <cacheField name="Month" numFmtId="0"/>
    <cacheField name="Order Date" numFmtId="183"/>
    <cacheField name="Weekday" numFmtId="1"/>
    <cacheField name="Present Date" numFmtId="58"/>
    <cacheField name="Quantity" numFmtId="0"/>
    <cacheField name="Unit Price" numFmtId="184"/>
    <cacheField name="Total Sales" numFmtId="184"/>
    <cacheField name="Average Seling Price (ASP)" numFmtId="184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0"/>
    <x v="1"/>
    <x v="1"/>
    <x v="1"/>
    <x v="1"/>
  </r>
  <r>
    <x v="2"/>
    <x v="1"/>
    <x v="0"/>
    <x v="2"/>
    <x v="2"/>
    <x v="0"/>
    <x v="0"/>
    <x v="2"/>
    <x v="2"/>
    <x v="2"/>
    <x v="2"/>
  </r>
  <r>
    <x v="3"/>
    <x v="2"/>
    <x v="0"/>
    <x v="3"/>
    <x v="3"/>
    <x v="2"/>
    <x v="0"/>
    <x v="3"/>
    <x v="3"/>
    <x v="3"/>
    <x v="3"/>
  </r>
  <r>
    <x v="4"/>
    <x v="2"/>
    <x v="0"/>
    <x v="1"/>
    <x v="4"/>
    <x v="2"/>
    <x v="0"/>
    <x v="4"/>
    <x v="4"/>
    <x v="4"/>
    <x v="4"/>
  </r>
  <r>
    <x v="3"/>
    <x v="3"/>
    <x v="1"/>
    <x v="2"/>
    <x v="5"/>
    <x v="3"/>
    <x v="0"/>
    <x v="5"/>
    <x v="5"/>
    <x v="5"/>
    <x v="5"/>
  </r>
  <r>
    <x v="5"/>
    <x v="4"/>
    <x v="2"/>
    <x v="4"/>
    <x v="6"/>
    <x v="4"/>
    <x v="0"/>
    <x v="6"/>
    <x v="6"/>
    <x v="6"/>
    <x v="6"/>
  </r>
  <r>
    <x v="6"/>
    <x v="5"/>
    <x v="1"/>
    <x v="2"/>
    <x v="7"/>
    <x v="1"/>
    <x v="0"/>
    <x v="6"/>
    <x v="7"/>
    <x v="7"/>
    <x v="7"/>
  </r>
  <r>
    <x v="1"/>
    <x v="2"/>
    <x v="3"/>
    <x v="0"/>
    <x v="8"/>
    <x v="5"/>
    <x v="0"/>
    <x v="7"/>
    <x v="8"/>
    <x v="8"/>
    <x v="8"/>
  </r>
  <r>
    <x v="4"/>
    <x v="6"/>
    <x v="3"/>
    <x v="0"/>
    <x v="9"/>
    <x v="3"/>
    <x v="0"/>
    <x v="5"/>
    <x v="9"/>
    <x v="9"/>
    <x v="9"/>
  </r>
  <r>
    <x v="1"/>
    <x v="6"/>
    <x v="2"/>
    <x v="5"/>
    <x v="10"/>
    <x v="6"/>
    <x v="0"/>
    <x v="4"/>
    <x v="10"/>
    <x v="10"/>
    <x v="10"/>
  </r>
  <r>
    <x v="4"/>
    <x v="0"/>
    <x v="1"/>
    <x v="1"/>
    <x v="11"/>
    <x v="3"/>
    <x v="0"/>
    <x v="0"/>
    <x v="11"/>
    <x v="11"/>
    <x v="11"/>
  </r>
  <r>
    <x v="1"/>
    <x v="6"/>
    <x v="1"/>
    <x v="1"/>
    <x v="12"/>
    <x v="1"/>
    <x v="0"/>
    <x v="3"/>
    <x v="12"/>
    <x v="12"/>
    <x v="12"/>
  </r>
  <r>
    <x v="4"/>
    <x v="7"/>
    <x v="1"/>
    <x v="5"/>
    <x v="13"/>
    <x v="3"/>
    <x v="0"/>
    <x v="6"/>
    <x v="13"/>
    <x v="13"/>
    <x v="13"/>
  </r>
  <r>
    <x v="7"/>
    <x v="0"/>
    <x v="1"/>
    <x v="4"/>
    <x v="14"/>
    <x v="1"/>
    <x v="0"/>
    <x v="7"/>
    <x v="14"/>
    <x v="14"/>
    <x v="14"/>
  </r>
  <r>
    <x v="8"/>
    <x v="2"/>
    <x v="2"/>
    <x v="0"/>
    <x v="15"/>
    <x v="4"/>
    <x v="0"/>
    <x v="5"/>
    <x v="15"/>
    <x v="15"/>
    <x v="15"/>
  </r>
  <r>
    <x v="7"/>
    <x v="3"/>
    <x v="2"/>
    <x v="3"/>
    <x v="16"/>
    <x v="4"/>
    <x v="0"/>
    <x v="7"/>
    <x v="16"/>
    <x v="16"/>
    <x v="16"/>
  </r>
  <r>
    <x v="8"/>
    <x v="1"/>
    <x v="1"/>
    <x v="4"/>
    <x v="17"/>
    <x v="1"/>
    <x v="0"/>
    <x v="2"/>
    <x v="17"/>
    <x v="17"/>
    <x v="17"/>
  </r>
  <r>
    <x v="3"/>
    <x v="0"/>
    <x v="2"/>
    <x v="4"/>
    <x v="18"/>
    <x v="5"/>
    <x v="0"/>
    <x v="6"/>
    <x v="18"/>
    <x v="18"/>
    <x v="18"/>
  </r>
  <r>
    <x v="1"/>
    <x v="1"/>
    <x v="3"/>
    <x v="0"/>
    <x v="19"/>
    <x v="0"/>
    <x v="0"/>
    <x v="5"/>
    <x v="19"/>
    <x v="19"/>
    <x v="19"/>
  </r>
  <r>
    <x v="8"/>
    <x v="3"/>
    <x v="2"/>
    <x v="4"/>
    <x v="20"/>
    <x v="2"/>
    <x v="0"/>
    <x v="3"/>
    <x v="20"/>
    <x v="20"/>
    <x v="20"/>
  </r>
  <r>
    <x v="8"/>
    <x v="4"/>
    <x v="2"/>
    <x v="1"/>
    <x v="21"/>
    <x v="5"/>
    <x v="0"/>
    <x v="8"/>
    <x v="21"/>
    <x v="21"/>
    <x v="21"/>
  </r>
  <r>
    <x v="3"/>
    <x v="8"/>
    <x v="3"/>
    <x v="5"/>
    <x v="22"/>
    <x v="2"/>
    <x v="0"/>
    <x v="9"/>
    <x v="22"/>
    <x v="22"/>
    <x v="22"/>
  </r>
  <r>
    <x v="4"/>
    <x v="1"/>
    <x v="0"/>
    <x v="5"/>
    <x v="23"/>
    <x v="1"/>
    <x v="0"/>
    <x v="5"/>
    <x v="23"/>
    <x v="23"/>
    <x v="23"/>
  </r>
  <r>
    <x v="2"/>
    <x v="4"/>
    <x v="3"/>
    <x v="2"/>
    <x v="7"/>
    <x v="1"/>
    <x v="0"/>
    <x v="5"/>
    <x v="24"/>
    <x v="24"/>
    <x v="24"/>
  </r>
  <r>
    <x v="6"/>
    <x v="3"/>
    <x v="0"/>
    <x v="5"/>
    <x v="24"/>
    <x v="4"/>
    <x v="0"/>
    <x v="7"/>
    <x v="25"/>
    <x v="25"/>
    <x v="25"/>
  </r>
  <r>
    <x v="1"/>
    <x v="0"/>
    <x v="3"/>
    <x v="2"/>
    <x v="25"/>
    <x v="4"/>
    <x v="0"/>
    <x v="3"/>
    <x v="26"/>
    <x v="26"/>
    <x v="26"/>
  </r>
  <r>
    <x v="3"/>
    <x v="2"/>
    <x v="3"/>
    <x v="0"/>
    <x v="26"/>
    <x v="1"/>
    <x v="0"/>
    <x v="9"/>
    <x v="27"/>
    <x v="27"/>
    <x v="27"/>
  </r>
  <r>
    <x v="6"/>
    <x v="1"/>
    <x v="1"/>
    <x v="3"/>
    <x v="27"/>
    <x v="3"/>
    <x v="0"/>
    <x v="4"/>
    <x v="28"/>
    <x v="28"/>
    <x v="28"/>
  </r>
  <r>
    <x v="7"/>
    <x v="5"/>
    <x v="1"/>
    <x v="4"/>
    <x v="28"/>
    <x v="3"/>
    <x v="0"/>
    <x v="1"/>
    <x v="29"/>
    <x v="29"/>
    <x v="29"/>
  </r>
  <r>
    <x v="9"/>
    <x v="0"/>
    <x v="2"/>
    <x v="4"/>
    <x v="29"/>
    <x v="2"/>
    <x v="0"/>
    <x v="6"/>
    <x v="30"/>
    <x v="30"/>
    <x v="30"/>
  </r>
  <r>
    <x v="4"/>
    <x v="2"/>
    <x v="3"/>
    <x v="0"/>
    <x v="30"/>
    <x v="3"/>
    <x v="0"/>
    <x v="7"/>
    <x v="31"/>
    <x v="31"/>
    <x v="31"/>
  </r>
  <r>
    <x v="4"/>
    <x v="6"/>
    <x v="2"/>
    <x v="0"/>
    <x v="31"/>
    <x v="6"/>
    <x v="0"/>
    <x v="8"/>
    <x v="32"/>
    <x v="32"/>
    <x v="32"/>
  </r>
  <r>
    <x v="5"/>
    <x v="5"/>
    <x v="1"/>
    <x v="5"/>
    <x v="32"/>
    <x v="0"/>
    <x v="0"/>
    <x v="5"/>
    <x v="33"/>
    <x v="33"/>
    <x v="33"/>
  </r>
  <r>
    <x v="5"/>
    <x v="0"/>
    <x v="3"/>
    <x v="5"/>
    <x v="33"/>
    <x v="1"/>
    <x v="0"/>
    <x v="1"/>
    <x v="34"/>
    <x v="34"/>
    <x v="34"/>
  </r>
  <r>
    <x v="8"/>
    <x v="8"/>
    <x v="0"/>
    <x v="2"/>
    <x v="2"/>
    <x v="0"/>
    <x v="0"/>
    <x v="2"/>
    <x v="35"/>
    <x v="35"/>
    <x v="35"/>
  </r>
  <r>
    <x v="3"/>
    <x v="5"/>
    <x v="0"/>
    <x v="3"/>
    <x v="34"/>
    <x v="5"/>
    <x v="0"/>
    <x v="3"/>
    <x v="36"/>
    <x v="36"/>
    <x v="36"/>
  </r>
  <r>
    <x v="7"/>
    <x v="0"/>
    <x v="1"/>
    <x v="5"/>
    <x v="35"/>
    <x v="0"/>
    <x v="0"/>
    <x v="4"/>
    <x v="37"/>
    <x v="37"/>
    <x v="37"/>
  </r>
  <r>
    <x v="5"/>
    <x v="8"/>
    <x v="3"/>
    <x v="5"/>
    <x v="36"/>
    <x v="1"/>
    <x v="0"/>
    <x v="8"/>
    <x v="38"/>
    <x v="38"/>
    <x v="38"/>
  </r>
  <r>
    <x v="8"/>
    <x v="1"/>
    <x v="2"/>
    <x v="4"/>
    <x v="37"/>
    <x v="5"/>
    <x v="0"/>
    <x v="4"/>
    <x v="39"/>
    <x v="39"/>
    <x v="39"/>
  </r>
  <r>
    <x v="1"/>
    <x v="7"/>
    <x v="3"/>
    <x v="4"/>
    <x v="38"/>
    <x v="0"/>
    <x v="0"/>
    <x v="7"/>
    <x v="40"/>
    <x v="40"/>
    <x v="40"/>
  </r>
  <r>
    <x v="4"/>
    <x v="4"/>
    <x v="2"/>
    <x v="0"/>
    <x v="26"/>
    <x v="1"/>
    <x v="0"/>
    <x v="1"/>
    <x v="41"/>
    <x v="41"/>
    <x v="41"/>
  </r>
  <r>
    <x v="2"/>
    <x v="9"/>
    <x v="1"/>
    <x v="0"/>
    <x v="39"/>
    <x v="2"/>
    <x v="0"/>
    <x v="2"/>
    <x v="42"/>
    <x v="42"/>
    <x v="42"/>
  </r>
  <r>
    <x v="6"/>
    <x v="4"/>
    <x v="2"/>
    <x v="2"/>
    <x v="2"/>
    <x v="0"/>
    <x v="0"/>
    <x v="6"/>
    <x v="43"/>
    <x v="43"/>
    <x v="43"/>
  </r>
  <r>
    <x v="0"/>
    <x v="2"/>
    <x v="1"/>
    <x v="5"/>
    <x v="24"/>
    <x v="4"/>
    <x v="0"/>
    <x v="6"/>
    <x v="44"/>
    <x v="44"/>
    <x v="44"/>
  </r>
  <r>
    <x v="1"/>
    <x v="2"/>
    <x v="1"/>
    <x v="4"/>
    <x v="40"/>
    <x v="0"/>
    <x v="0"/>
    <x v="6"/>
    <x v="6"/>
    <x v="6"/>
    <x v="6"/>
  </r>
  <r>
    <x v="2"/>
    <x v="4"/>
    <x v="3"/>
    <x v="0"/>
    <x v="9"/>
    <x v="3"/>
    <x v="0"/>
    <x v="8"/>
    <x v="45"/>
    <x v="45"/>
    <x v="45"/>
  </r>
  <r>
    <x v="6"/>
    <x v="3"/>
    <x v="1"/>
    <x v="1"/>
    <x v="41"/>
    <x v="5"/>
    <x v="0"/>
    <x v="3"/>
    <x v="46"/>
    <x v="46"/>
    <x v="46"/>
  </r>
  <r>
    <x v="3"/>
    <x v="2"/>
    <x v="0"/>
    <x v="3"/>
    <x v="42"/>
    <x v="4"/>
    <x v="0"/>
    <x v="2"/>
    <x v="47"/>
    <x v="47"/>
    <x v="47"/>
  </r>
  <r>
    <x v="4"/>
    <x v="5"/>
    <x v="3"/>
    <x v="1"/>
    <x v="43"/>
    <x v="6"/>
    <x v="0"/>
    <x v="1"/>
    <x v="48"/>
    <x v="48"/>
    <x v="48"/>
  </r>
  <r>
    <x v="8"/>
    <x v="9"/>
    <x v="1"/>
    <x v="3"/>
    <x v="44"/>
    <x v="6"/>
    <x v="0"/>
    <x v="1"/>
    <x v="49"/>
    <x v="49"/>
    <x v="49"/>
  </r>
  <r>
    <x v="7"/>
    <x v="2"/>
    <x v="1"/>
    <x v="3"/>
    <x v="16"/>
    <x v="4"/>
    <x v="0"/>
    <x v="6"/>
    <x v="50"/>
    <x v="50"/>
    <x v="50"/>
  </r>
  <r>
    <x v="6"/>
    <x v="3"/>
    <x v="1"/>
    <x v="5"/>
    <x v="45"/>
    <x v="3"/>
    <x v="0"/>
    <x v="1"/>
    <x v="51"/>
    <x v="51"/>
    <x v="51"/>
  </r>
  <r>
    <x v="5"/>
    <x v="9"/>
    <x v="1"/>
    <x v="0"/>
    <x v="46"/>
    <x v="2"/>
    <x v="0"/>
    <x v="0"/>
    <x v="0"/>
    <x v="0"/>
    <x v="0"/>
  </r>
  <r>
    <x v="9"/>
    <x v="9"/>
    <x v="0"/>
    <x v="1"/>
    <x v="47"/>
    <x v="2"/>
    <x v="0"/>
    <x v="5"/>
    <x v="52"/>
    <x v="52"/>
    <x v="52"/>
  </r>
  <r>
    <x v="0"/>
    <x v="0"/>
    <x v="1"/>
    <x v="4"/>
    <x v="48"/>
    <x v="3"/>
    <x v="0"/>
    <x v="8"/>
    <x v="53"/>
    <x v="53"/>
    <x v="53"/>
  </r>
  <r>
    <x v="8"/>
    <x v="5"/>
    <x v="3"/>
    <x v="0"/>
    <x v="49"/>
    <x v="5"/>
    <x v="0"/>
    <x v="8"/>
    <x v="54"/>
    <x v="54"/>
    <x v="54"/>
  </r>
  <r>
    <x v="8"/>
    <x v="0"/>
    <x v="3"/>
    <x v="2"/>
    <x v="50"/>
    <x v="6"/>
    <x v="0"/>
    <x v="5"/>
    <x v="7"/>
    <x v="55"/>
    <x v="7"/>
  </r>
  <r>
    <x v="1"/>
    <x v="2"/>
    <x v="2"/>
    <x v="0"/>
    <x v="51"/>
    <x v="6"/>
    <x v="0"/>
    <x v="2"/>
    <x v="55"/>
    <x v="56"/>
    <x v="55"/>
  </r>
  <r>
    <x v="8"/>
    <x v="2"/>
    <x v="3"/>
    <x v="3"/>
    <x v="52"/>
    <x v="5"/>
    <x v="0"/>
    <x v="2"/>
    <x v="56"/>
    <x v="57"/>
    <x v="56"/>
  </r>
  <r>
    <x v="5"/>
    <x v="1"/>
    <x v="2"/>
    <x v="3"/>
    <x v="52"/>
    <x v="5"/>
    <x v="0"/>
    <x v="2"/>
    <x v="57"/>
    <x v="58"/>
    <x v="57"/>
  </r>
  <r>
    <x v="7"/>
    <x v="5"/>
    <x v="3"/>
    <x v="2"/>
    <x v="53"/>
    <x v="2"/>
    <x v="0"/>
    <x v="5"/>
    <x v="58"/>
    <x v="59"/>
    <x v="58"/>
  </r>
  <r>
    <x v="1"/>
    <x v="0"/>
    <x v="0"/>
    <x v="1"/>
    <x v="21"/>
    <x v="5"/>
    <x v="0"/>
    <x v="6"/>
    <x v="59"/>
    <x v="60"/>
    <x v="59"/>
  </r>
  <r>
    <x v="0"/>
    <x v="3"/>
    <x v="1"/>
    <x v="4"/>
    <x v="54"/>
    <x v="5"/>
    <x v="0"/>
    <x v="9"/>
    <x v="60"/>
    <x v="61"/>
    <x v="60"/>
  </r>
  <r>
    <x v="3"/>
    <x v="8"/>
    <x v="2"/>
    <x v="0"/>
    <x v="39"/>
    <x v="2"/>
    <x v="0"/>
    <x v="5"/>
    <x v="61"/>
    <x v="62"/>
    <x v="61"/>
  </r>
  <r>
    <x v="4"/>
    <x v="9"/>
    <x v="1"/>
    <x v="0"/>
    <x v="0"/>
    <x v="0"/>
    <x v="0"/>
    <x v="2"/>
    <x v="62"/>
    <x v="63"/>
    <x v="62"/>
  </r>
  <r>
    <x v="0"/>
    <x v="0"/>
    <x v="1"/>
    <x v="0"/>
    <x v="55"/>
    <x v="3"/>
    <x v="0"/>
    <x v="5"/>
    <x v="63"/>
    <x v="64"/>
    <x v="63"/>
  </r>
  <r>
    <x v="1"/>
    <x v="4"/>
    <x v="0"/>
    <x v="4"/>
    <x v="56"/>
    <x v="5"/>
    <x v="0"/>
    <x v="7"/>
    <x v="64"/>
    <x v="65"/>
    <x v="64"/>
  </r>
  <r>
    <x v="8"/>
    <x v="6"/>
    <x v="2"/>
    <x v="4"/>
    <x v="17"/>
    <x v="1"/>
    <x v="0"/>
    <x v="5"/>
    <x v="65"/>
    <x v="66"/>
    <x v="65"/>
  </r>
  <r>
    <x v="1"/>
    <x v="8"/>
    <x v="2"/>
    <x v="3"/>
    <x v="44"/>
    <x v="6"/>
    <x v="0"/>
    <x v="7"/>
    <x v="66"/>
    <x v="67"/>
    <x v="66"/>
  </r>
  <r>
    <x v="4"/>
    <x v="0"/>
    <x v="3"/>
    <x v="3"/>
    <x v="57"/>
    <x v="0"/>
    <x v="0"/>
    <x v="0"/>
    <x v="67"/>
    <x v="68"/>
    <x v="67"/>
  </r>
  <r>
    <x v="7"/>
    <x v="6"/>
    <x v="2"/>
    <x v="4"/>
    <x v="58"/>
    <x v="6"/>
    <x v="0"/>
    <x v="2"/>
    <x v="68"/>
    <x v="69"/>
    <x v="68"/>
  </r>
  <r>
    <x v="2"/>
    <x v="7"/>
    <x v="1"/>
    <x v="3"/>
    <x v="59"/>
    <x v="6"/>
    <x v="0"/>
    <x v="0"/>
    <x v="69"/>
    <x v="70"/>
    <x v="69"/>
  </r>
  <r>
    <x v="2"/>
    <x v="4"/>
    <x v="3"/>
    <x v="3"/>
    <x v="60"/>
    <x v="5"/>
    <x v="0"/>
    <x v="0"/>
    <x v="70"/>
    <x v="71"/>
    <x v="70"/>
  </r>
  <r>
    <x v="0"/>
    <x v="2"/>
    <x v="3"/>
    <x v="1"/>
    <x v="61"/>
    <x v="5"/>
    <x v="0"/>
    <x v="9"/>
    <x v="71"/>
    <x v="72"/>
    <x v="71"/>
  </r>
  <r>
    <x v="1"/>
    <x v="0"/>
    <x v="1"/>
    <x v="4"/>
    <x v="62"/>
    <x v="4"/>
    <x v="0"/>
    <x v="3"/>
    <x v="72"/>
    <x v="73"/>
    <x v="72"/>
  </r>
  <r>
    <x v="1"/>
    <x v="5"/>
    <x v="1"/>
    <x v="2"/>
    <x v="50"/>
    <x v="6"/>
    <x v="0"/>
    <x v="0"/>
    <x v="73"/>
    <x v="74"/>
    <x v="73"/>
  </r>
  <r>
    <x v="9"/>
    <x v="6"/>
    <x v="0"/>
    <x v="5"/>
    <x v="63"/>
    <x v="2"/>
    <x v="0"/>
    <x v="9"/>
    <x v="74"/>
    <x v="75"/>
    <x v="74"/>
  </r>
  <r>
    <x v="2"/>
    <x v="3"/>
    <x v="3"/>
    <x v="3"/>
    <x v="64"/>
    <x v="2"/>
    <x v="0"/>
    <x v="5"/>
    <x v="75"/>
    <x v="76"/>
    <x v="75"/>
  </r>
  <r>
    <x v="5"/>
    <x v="0"/>
    <x v="1"/>
    <x v="2"/>
    <x v="65"/>
    <x v="6"/>
    <x v="0"/>
    <x v="2"/>
    <x v="76"/>
    <x v="77"/>
    <x v="76"/>
  </r>
  <r>
    <x v="4"/>
    <x v="0"/>
    <x v="3"/>
    <x v="5"/>
    <x v="36"/>
    <x v="1"/>
    <x v="0"/>
    <x v="5"/>
    <x v="77"/>
    <x v="78"/>
    <x v="77"/>
  </r>
  <r>
    <x v="8"/>
    <x v="3"/>
    <x v="1"/>
    <x v="5"/>
    <x v="66"/>
    <x v="5"/>
    <x v="0"/>
    <x v="1"/>
    <x v="78"/>
    <x v="79"/>
    <x v="78"/>
  </r>
  <r>
    <x v="1"/>
    <x v="1"/>
    <x v="1"/>
    <x v="3"/>
    <x v="60"/>
    <x v="5"/>
    <x v="0"/>
    <x v="8"/>
    <x v="79"/>
    <x v="80"/>
    <x v="79"/>
  </r>
  <r>
    <x v="6"/>
    <x v="7"/>
    <x v="1"/>
    <x v="1"/>
    <x v="67"/>
    <x v="2"/>
    <x v="0"/>
    <x v="0"/>
    <x v="80"/>
    <x v="81"/>
    <x v="80"/>
  </r>
  <r>
    <x v="6"/>
    <x v="5"/>
    <x v="3"/>
    <x v="4"/>
    <x v="68"/>
    <x v="4"/>
    <x v="0"/>
    <x v="6"/>
    <x v="81"/>
    <x v="82"/>
    <x v="81"/>
  </r>
  <r>
    <x v="7"/>
    <x v="3"/>
    <x v="2"/>
    <x v="2"/>
    <x v="69"/>
    <x v="0"/>
    <x v="0"/>
    <x v="2"/>
    <x v="82"/>
    <x v="83"/>
    <x v="82"/>
  </r>
  <r>
    <x v="1"/>
    <x v="7"/>
    <x v="3"/>
    <x v="5"/>
    <x v="70"/>
    <x v="4"/>
    <x v="0"/>
    <x v="4"/>
    <x v="83"/>
    <x v="84"/>
    <x v="83"/>
  </r>
  <r>
    <x v="7"/>
    <x v="9"/>
    <x v="0"/>
    <x v="3"/>
    <x v="52"/>
    <x v="5"/>
    <x v="0"/>
    <x v="5"/>
    <x v="84"/>
    <x v="85"/>
    <x v="84"/>
  </r>
  <r>
    <x v="8"/>
    <x v="1"/>
    <x v="2"/>
    <x v="3"/>
    <x v="71"/>
    <x v="2"/>
    <x v="0"/>
    <x v="3"/>
    <x v="85"/>
    <x v="86"/>
    <x v="85"/>
  </r>
  <r>
    <x v="7"/>
    <x v="0"/>
    <x v="2"/>
    <x v="5"/>
    <x v="72"/>
    <x v="0"/>
    <x v="0"/>
    <x v="8"/>
    <x v="86"/>
    <x v="87"/>
    <x v="86"/>
  </r>
  <r>
    <x v="7"/>
    <x v="1"/>
    <x v="1"/>
    <x v="4"/>
    <x v="62"/>
    <x v="4"/>
    <x v="0"/>
    <x v="7"/>
    <x v="87"/>
    <x v="88"/>
    <x v="87"/>
  </r>
  <r>
    <x v="2"/>
    <x v="3"/>
    <x v="1"/>
    <x v="2"/>
    <x v="73"/>
    <x v="0"/>
    <x v="0"/>
    <x v="8"/>
    <x v="88"/>
    <x v="89"/>
    <x v="88"/>
  </r>
  <r>
    <x v="4"/>
    <x v="4"/>
    <x v="0"/>
    <x v="0"/>
    <x v="19"/>
    <x v="0"/>
    <x v="0"/>
    <x v="8"/>
    <x v="89"/>
    <x v="90"/>
    <x v="89"/>
  </r>
  <r>
    <x v="8"/>
    <x v="8"/>
    <x v="2"/>
    <x v="1"/>
    <x v="21"/>
    <x v="5"/>
    <x v="0"/>
    <x v="6"/>
    <x v="90"/>
    <x v="91"/>
    <x v="90"/>
  </r>
  <r>
    <x v="5"/>
    <x v="9"/>
    <x v="2"/>
    <x v="5"/>
    <x v="74"/>
    <x v="6"/>
    <x v="0"/>
    <x v="2"/>
    <x v="91"/>
    <x v="92"/>
    <x v="91"/>
  </r>
  <r>
    <x v="6"/>
    <x v="7"/>
    <x v="1"/>
    <x v="4"/>
    <x v="75"/>
    <x v="2"/>
    <x v="0"/>
    <x v="4"/>
    <x v="92"/>
    <x v="93"/>
    <x v="92"/>
  </r>
  <r>
    <x v="3"/>
    <x v="8"/>
    <x v="3"/>
    <x v="5"/>
    <x v="76"/>
    <x v="4"/>
    <x v="0"/>
    <x v="1"/>
    <x v="93"/>
    <x v="94"/>
    <x v="93"/>
  </r>
  <r>
    <x v="6"/>
    <x v="9"/>
    <x v="2"/>
    <x v="2"/>
    <x v="77"/>
    <x v="5"/>
    <x v="0"/>
    <x v="3"/>
    <x v="94"/>
    <x v="95"/>
    <x v="94"/>
  </r>
  <r>
    <x v="1"/>
    <x v="2"/>
    <x v="1"/>
    <x v="4"/>
    <x v="78"/>
    <x v="3"/>
    <x v="0"/>
    <x v="6"/>
    <x v="95"/>
    <x v="96"/>
    <x v="95"/>
  </r>
  <r>
    <x v="5"/>
    <x v="6"/>
    <x v="2"/>
    <x v="5"/>
    <x v="79"/>
    <x v="3"/>
    <x v="0"/>
    <x v="8"/>
    <x v="96"/>
    <x v="97"/>
    <x v="96"/>
  </r>
  <r>
    <x v="0"/>
    <x v="4"/>
    <x v="1"/>
    <x v="2"/>
    <x v="80"/>
    <x v="2"/>
    <x v="0"/>
    <x v="6"/>
    <x v="97"/>
    <x v="98"/>
    <x v="97"/>
  </r>
  <r>
    <x v="4"/>
    <x v="9"/>
    <x v="1"/>
    <x v="1"/>
    <x v="81"/>
    <x v="0"/>
    <x v="0"/>
    <x v="1"/>
    <x v="98"/>
    <x v="99"/>
    <x v="98"/>
  </r>
  <r>
    <x v="7"/>
    <x v="5"/>
    <x v="3"/>
    <x v="1"/>
    <x v="12"/>
    <x v="1"/>
    <x v="0"/>
    <x v="2"/>
    <x v="17"/>
    <x v="17"/>
    <x v="17"/>
  </r>
  <r>
    <x v="8"/>
    <x v="6"/>
    <x v="3"/>
    <x v="0"/>
    <x v="26"/>
    <x v="1"/>
    <x v="0"/>
    <x v="1"/>
    <x v="99"/>
    <x v="100"/>
    <x v="99"/>
  </r>
  <r>
    <x v="5"/>
    <x v="0"/>
    <x v="0"/>
    <x v="3"/>
    <x v="82"/>
    <x v="3"/>
    <x v="0"/>
    <x v="3"/>
    <x v="100"/>
    <x v="101"/>
    <x v="100"/>
  </r>
  <r>
    <x v="6"/>
    <x v="9"/>
    <x v="3"/>
    <x v="4"/>
    <x v="83"/>
    <x v="0"/>
    <x v="0"/>
    <x v="8"/>
    <x v="101"/>
    <x v="102"/>
    <x v="101"/>
  </r>
  <r>
    <x v="9"/>
    <x v="9"/>
    <x v="0"/>
    <x v="4"/>
    <x v="29"/>
    <x v="2"/>
    <x v="0"/>
    <x v="6"/>
    <x v="102"/>
    <x v="103"/>
    <x v="102"/>
  </r>
  <r>
    <x v="6"/>
    <x v="3"/>
    <x v="1"/>
    <x v="3"/>
    <x v="84"/>
    <x v="6"/>
    <x v="0"/>
    <x v="6"/>
    <x v="103"/>
    <x v="104"/>
    <x v="103"/>
  </r>
  <r>
    <x v="7"/>
    <x v="3"/>
    <x v="3"/>
    <x v="1"/>
    <x v="85"/>
    <x v="4"/>
    <x v="0"/>
    <x v="2"/>
    <x v="104"/>
    <x v="105"/>
    <x v="104"/>
  </r>
  <r>
    <x v="1"/>
    <x v="0"/>
    <x v="3"/>
    <x v="4"/>
    <x v="68"/>
    <x v="4"/>
    <x v="0"/>
    <x v="2"/>
    <x v="105"/>
    <x v="106"/>
    <x v="105"/>
  </r>
  <r>
    <x v="9"/>
    <x v="2"/>
    <x v="0"/>
    <x v="5"/>
    <x v="24"/>
    <x v="4"/>
    <x v="0"/>
    <x v="9"/>
    <x v="106"/>
    <x v="107"/>
    <x v="106"/>
  </r>
  <r>
    <x v="4"/>
    <x v="6"/>
    <x v="2"/>
    <x v="2"/>
    <x v="86"/>
    <x v="4"/>
    <x v="0"/>
    <x v="8"/>
    <x v="107"/>
    <x v="108"/>
    <x v="107"/>
  </r>
  <r>
    <x v="9"/>
    <x v="8"/>
    <x v="0"/>
    <x v="5"/>
    <x v="87"/>
    <x v="5"/>
    <x v="0"/>
    <x v="9"/>
    <x v="108"/>
    <x v="109"/>
    <x v="108"/>
  </r>
  <r>
    <x v="8"/>
    <x v="4"/>
    <x v="0"/>
    <x v="3"/>
    <x v="88"/>
    <x v="0"/>
    <x v="0"/>
    <x v="2"/>
    <x v="109"/>
    <x v="110"/>
    <x v="109"/>
  </r>
  <r>
    <x v="5"/>
    <x v="4"/>
    <x v="3"/>
    <x v="2"/>
    <x v="77"/>
    <x v="5"/>
    <x v="0"/>
    <x v="2"/>
    <x v="110"/>
    <x v="111"/>
    <x v="110"/>
  </r>
  <r>
    <x v="6"/>
    <x v="1"/>
    <x v="1"/>
    <x v="4"/>
    <x v="58"/>
    <x v="6"/>
    <x v="0"/>
    <x v="9"/>
    <x v="111"/>
    <x v="112"/>
    <x v="111"/>
  </r>
  <r>
    <x v="3"/>
    <x v="7"/>
    <x v="1"/>
    <x v="2"/>
    <x v="89"/>
    <x v="6"/>
    <x v="0"/>
    <x v="8"/>
    <x v="112"/>
    <x v="113"/>
    <x v="112"/>
  </r>
  <r>
    <x v="9"/>
    <x v="4"/>
    <x v="1"/>
    <x v="0"/>
    <x v="90"/>
    <x v="2"/>
    <x v="0"/>
    <x v="0"/>
    <x v="113"/>
    <x v="114"/>
    <x v="113"/>
  </r>
  <r>
    <x v="5"/>
    <x v="2"/>
    <x v="3"/>
    <x v="5"/>
    <x v="45"/>
    <x v="3"/>
    <x v="0"/>
    <x v="8"/>
    <x v="114"/>
    <x v="115"/>
    <x v="114"/>
  </r>
  <r>
    <x v="0"/>
    <x v="1"/>
    <x v="0"/>
    <x v="3"/>
    <x v="59"/>
    <x v="6"/>
    <x v="0"/>
    <x v="6"/>
    <x v="115"/>
    <x v="116"/>
    <x v="115"/>
  </r>
  <r>
    <x v="4"/>
    <x v="6"/>
    <x v="3"/>
    <x v="1"/>
    <x v="91"/>
    <x v="1"/>
    <x v="0"/>
    <x v="5"/>
    <x v="116"/>
    <x v="117"/>
    <x v="116"/>
  </r>
  <r>
    <x v="3"/>
    <x v="3"/>
    <x v="1"/>
    <x v="2"/>
    <x v="92"/>
    <x v="1"/>
    <x v="0"/>
    <x v="6"/>
    <x v="117"/>
    <x v="118"/>
    <x v="117"/>
  </r>
  <r>
    <x v="1"/>
    <x v="9"/>
    <x v="2"/>
    <x v="1"/>
    <x v="93"/>
    <x v="6"/>
    <x v="0"/>
    <x v="9"/>
    <x v="118"/>
    <x v="119"/>
    <x v="118"/>
  </r>
  <r>
    <x v="1"/>
    <x v="6"/>
    <x v="1"/>
    <x v="0"/>
    <x v="94"/>
    <x v="1"/>
    <x v="0"/>
    <x v="4"/>
    <x v="119"/>
    <x v="120"/>
    <x v="119"/>
  </r>
  <r>
    <x v="9"/>
    <x v="4"/>
    <x v="3"/>
    <x v="1"/>
    <x v="95"/>
    <x v="5"/>
    <x v="0"/>
    <x v="1"/>
    <x v="120"/>
    <x v="121"/>
    <x v="120"/>
  </r>
  <r>
    <x v="4"/>
    <x v="7"/>
    <x v="0"/>
    <x v="4"/>
    <x v="56"/>
    <x v="5"/>
    <x v="0"/>
    <x v="4"/>
    <x v="121"/>
    <x v="122"/>
    <x v="121"/>
  </r>
  <r>
    <x v="1"/>
    <x v="0"/>
    <x v="1"/>
    <x v="2"/>
    <x v="80"/>
    <x v="2"/>
    <x v="0"/>
    <x v="8"/>
    <x v="122"/>
    <x v="123"/>
    <x v="122"/>
  </r>
  <r>
    <x v="7"/>
    <x v="8"/>
    <x v="2"/>
    <x v="0"/>
    <x v="96"/>
    <x v="3"/>
    <x v="0"/>
    <x v="9"/>
    <x v="123"/>
    <x v="124"/>
    <x v="123"/>
  </r>
  <r>
    <x v="5"/>
    <x v="0"/>
    <x v="1"/>
    <x v="5"/>
    <x v="45"/>
    <x v="3"/>
    <x v="0"/>
    <x v="6"/>
    <x v="124"/>
    <x v="125"/>
    <x v="124"/>
  </r>
  <r>
    <x v="1"/>
    <x v="1"/>
    <x v="0"/>
    <x v="2"/>
    <x v="97"/>
    <x v="3"/>
    <x v="0"/>
    <x v="2"/>
    <x v="125"/>
    <x v="126"/>
    <x v="125"/>
  </r>
  <r>
    <x v="3"/>
    <x v="5"/>
    <x v="0"/>
    <x v="1"/>
    <x v="21"/>
    <x v="5"/>
    <x v="0"/>
    <x v="7"/>
    <x v="126"/>
    <x v="127"/>
    <x v="126"/>
  </r>
  <r>
    <x v="7"/>
    <x v="0"/>
    <x v="2"/>
    <x v="4"/>
    <x v="29"/>
    <x v="2"/>
    <x v="0"/>
    <x v="9"/>
    <x v="127"/>
    <x v="128"/>
    <x v="127"/>
  </r>
  <r>
    <x v="0"/>
    <x v="4"/>
    <x v="2"/>
    <x v="4"/>
    <x v="20"/>
    <x v="2"/>
    <x v="0"/>
    <x v="7"/>
    <x v="128"/>
    <x v="129"/>
    <x v="128"/>
  </r>
  <r>
    <x v="7"/>
    <x v="1"/>
    <x v="3"/>
    <x v="0"/>
    <x v="39"/>
    <x v="2"/>
    <x v="0"/>
    <x v="9"/>
    <x v="129"/>
    <x v="130"/>
    <x v="129"/>
  </r>
  <r>
    <x v="9"/>
    <x v="8"/>
    <x v="3"/>
    <x v="3"/>
    <x v="57"/>
    <x v="0"/>
    <x v="0"/>
    <x v="0"/>
    <x v="130"/>
    <x v="131"/>
    <x v="130"/>
  </r>
  <r>
    <x v="5"/>
    <x v="0"/>
    <x v="0"/>
    <x v="3"/>
    <x v="27"/>
    <x v="3"/>
    <x v="0"/>
    <x v="8"/>
    <x v="131"/>
    <x v="132"/>
    <x v="131"/>
  </r>
  <r>
    <x v="8"/>
    <x v="3"/>
    <x v="0"/>
    <x v="3"/>
    <x v="98"/>
    <x v="1"/>
    <x v="0"/>
    <x v="2"/>
    <x v="132"/>
    <x v="133"/>
    <x v="132"/>
  </r>
  <r>
    <x v="1"/>
    <x v="3"/>
    <x v="0"/>
    <x v="2"/>
    <x v="7"/>
    <x v="1"/>
    <x v="0"/>
    <x v="0"/>
    <x v="133"/>
    <x v="134"/>
    <x v="133"/>
  </r>
  <r>
    <x v="2"/>
    <x v="2"/>
    <x v="2"/>
    <x v="4"/>
    <x v="68"/>
    <x v="4"/>
    <x v="0"/>
    <x v="1"/>
    <x v="134"/>
    <x v="135"/>
    <x v="134"/>
  </r>
  <r>
    <x v="5"/>
    <x v="9"/>
    <x v="2"/>
    <x v="3"/>
    <x v="16"/>
    <x v="4"/>
    <x v="0"/>
    <x v="4"/>
    <x v="135"/>
    <x v="136"/>
    <x v="135"/>
  </r>
  <r>
    <x v="3"/>
    <x v="5"/>
    <x v="1"/>
    <x v="2"/>
    <x v="99"/>
    <x v="6"/>
    <x v="0"/>
    <x v="4"/>
    <x v="136"/>
    <x v="137"/>
    <x v="136"/>
  </r>
  <r>
    <x v="7"/>
    <x v="3"/>
    <x v="0"/>
    <x v="5"/>
    <x v="100"/>
    <x v="4"/>
    <x v="0"/>
    <x v="5"/>
    <x v="137"/>
    <x v="138"/>
    <x v="137"/>
  </r>
  <r>
    <x v="4"/>
    <x v="3"/>
    <x v="0"/>
    <x v="3"/>
    <x v="101"/>
    <x v="5"/>
    <x v="0"/>
    <x v="6"/>
    <x v="138"/>
    <x v="139"/>
    <x v="138"/>
  </r>
  <r>
    <x v="3"/>
    <x v="9"/>
    <x v="3"/>
    <x v="4"/>
    <x v="14"/>
    <x v="1"/>
    <x v="0"/>
    <x v="6"/>
    <x v="112"/>
    <x v="140"/>
    <x v="112"/>
  </r>
  <r>
    <x v="6"/>
    <x v="4"/>
    <x v="1"/>
    <x v="2"/>
    <x v="102"/>
    <x v="5"/>
    <x v="0"/>
    <x v="0"/>
    <x v="71"/>
    <x v="141"/>
    <x v="71"/>
  </r>
  <r>
    <x v="9"/>
    <x v="0"/>
    <x v="2"/>
    <x v="1"/>
    <x v="103"/>
    <x v="0"/>
    <x v="0"/>
    <x v="2"/>
    <x v="90"/>
    <x v="142"/>
    <x v="90"/>
  </r>
  <r>
    <x v="6"/>
    <x v="5"/>
    <x v="1"/>
    <x v="1"/>
    <x v="104"/>
    <x v="4"/>
    <x v="0"/>
    <x v="2"/>
    <x v="139"/>
    <x v="143"/>
    <x v="139"/>
  </r>
  <r>
    <x v="4"/>
    <x v="2"/>
    <x v="3"/>
    <x v="1"/>
    <x v="1"/>
    <x v="1"/>
    <x v="0"/>
    <x v="6"/>
    <x v="140"/>
    <x v="144"/>
    <x v="140"/>
  </r>
  <r>
    <x v="0"/>
    <x v="4"/>
    <x v="3"/>
    <x v="0"/>
    <x v="0"/>
    <x v="0"/>
    <x v="0"/>
    <x v="1"/>
    <x v="141"/>
    <x v="145"/>
    <x v="141"/>
  </r>
  <r>
    <x v="6"/>
    <x v="8"/>
    <x v="3"/>
    <x v="3"/>
    <x v="57"/>
    <x v="0"/>
    <x v="0"/>
    <x v="0"/>
    <x v="142"/>
    <x v="146"/>
    <x v="142"/>
  </r>
  <r>
    <x v="5"/>
    <x v="9"/>
    <x v="2"/>
    <x v="5"/>
    <x v="87"/>
    <x v="5"/>
    <x v="0"/>
    <x v="9"/>
    <x v="143"/>
    <x v="147"/>
    <x v="143"/>
  </r>
  <r>
    <x v="8"/>
    <x v="8"/>
    <x v="2"/>
    <x v="0"/>
    <x v="19"/>
    <x v="0"/>
    <x v="0"/>
    <x v="3"/>
    <x v="64"/>
    <x v="148"/>
    <x v="64"/>
  </r>
  <r>
    <x v="3"/>
    <x v="7"/>
    <x v="3"/>
    <x v="0"/>
    <x v="0"/>
    <x v="0"/>
    <x v="0"/>
    <x v="9"/>
    <x v="144"/>
    <x v="149"/>
    <x v="144"/>
  </r>
  <r>
    <x v="8"/>
    <x v="2"/>
    <x v="2"/>
    <x v="4"/>
    <x v="62"/>
    <x v="4"/>
    <x v="0"/>
    <x v="8"/>
    <x v="145"/>
    <x v="150"/>
    <x v="145"/>
  </r>
  <r>
    <x v="2"/>
    <x v="0"/>
    <x v="2"/>
    <x v="1"/>
    <x v="41"/>
    <x v="5"/>
    <x v="0"/>
    <x v="2"/>
    <x v="146"/>
    <x v="151"/>
    <x v="146"/>
  </r>
  <r>
    <x v="8"/>
    <x v="5"/>
    <x v="2"/>
    <x v="0"/>
    <x v="105"/>
    <x v="2"/>
    <x v="0"/>
    <x v="9"/>
    <x v="138"/>
    <x v="152"/>
    <x v="138"/>
  </r>
  <r>
    <x v="1"/>
    <x v="0"/>
    <x v="0"/>
    <x v="5"/>
    <x v="106"/>
    <x v="2"/>
    <x v="0"/>
    <x v="4"/>
    <x v="147"/>
    <x v="153"/>
    <x v="147"/>
  </r>
  <r>
    <x v="4"/>
    <x v="8"/>
    <x v="3"/>
    <x v="2"/>
    <x v="107"/>
    <x v="5"/>
    <x v="0"/>
    <x v="9"/>
    <x v="148"/>
    <x v="154"/>
    <x v="148"/>
  </r>
  <r>
    <x v="0"/>
    <x v="6"/>
    <x v="2"/>
    <x v="3"/>
    <x v="3"/>
    <x v="2"/>
    <x v="0"/>
    <x v="6"/>
    <x v="149"/>
    <x v="155"/>
    <x v="149"/>
  </r>
  <r>
    <x v="5"/>
    <x v="8"/>
    <x v="3"/>
    <x v="0"/>
    <x v="96"/>
    <x v="3"/>
    <x v="0"/>
    <x v="7"/>
    <x v="150"/>
    <x v="156"/>
    <x v="150"/>
  </r>
  <r>
    <x v="7"/>
    <x v="2"/>
    <x v="0"/>
    <x v="0"/>
    <x v="94"/>
    <x v="1"/>
    <x v="0"/>
    <x v="5"/>
    <x v="151"/>
    <x v="157"/>
    <x v="151"/>
  </r>
  <r>
    <x v="1"/>
    <x v="7"/>
    <x v="3"/>
    <x v="0"/>
    <x v="108"/>
    <x v="4"/>
    <x v="0"/>
    <x v="5"/>
    <x v="70"/>
    <x v="158"/>
    <x v="70"/>
  </r>
  <r>
    <x v="3"/>
    <x v="3"/>
    <x v="0"/>
    <x v="1"/>
    <x v="4"/>
    <x v="2"/>
    <x v="0"/>
    <x v="7"/>
    <x v="152"/>
    <x v="159"/>
    <x v="152"/>
  </r>
  <r>
    <x v="4"/>
    <x v="3"/>
    <x v="3"/>
    <x v="5"/>
    <x v="76"/>
    <x v="4"/>
    <x v="0"/>
    <x v="6"/>
    <x v="153"/>
    <x v="160"/>
    <x v="153"/>
  </r>
  <r>
    <x v="3"/>
    <x v="0"/>
    <x v="1"/>
    <x v="1"/>
    <x v="85"/>
    <x v="4"/>
    <x v="0"/>
    <x v="2"/>
    <x v="154"/>
    <x v="161"/>
    <x v="154"/>
  </r>
  <r>
    <x v="4"/>
    <x v="4"/>
    <x v="3"/>
    <x v="2"/>
    <x v="109"/>
    <x v="5"/>
    <x v="0"/>
    <x v="4"/>
    <x v="155"/>
    <x v="162"/>
    <x v="155"/>
  </r>
  <r>
    <x v="9"/>
    <x v="5"/>
    <x v="2"/>
    <x v="3"/>
    <x v="44"/>
    <x v="6"/>
    <x v="0"/>
    <x v="5"/>
    <x v="156"/>
    <x v="163"/>
    <x v="156"/>
  </r>
  <r>
    <x v="7"/>
    <x v="8"/>
    <x v="1"/>
    <x v="3"/>
    <x v="110"/>
    <x v="4"/>
    <x v="0"/>
    <x v="2"/>
    <x v="157"/>
    <x v="164"/>
    <x v="157"/>
  </r>
  <r>
    <x v="9"/>
    <x v="6"/>
    <x v="2"/>
    <x v="2"/>
    <x v="111"/>
    <x v="4"/>
    <x v="0"/>
    <x v="1"/>
    <x v="158"/>
    <x v="165"/>
    <x v="158"/>
  </r>
  <r>
    <x v="0"/>
    <x v="9"/>
    <x v="3"/>
    <x v="0"/>
    <x v="19"/>
    <x v="0"/>
    <x v="0"/>
    <x v="5"/>
    <x v="159"/>
    <x v="166"/>
    <x v="159"/>
  </r>
  <r>
    <x v="5"/>
    <x v="0"/>
    <x v="2"/>
    <x v="3"/>
    <x v="71"/>
    <x v="2"/>
    <x v="0"/>
    <x v="7"/>
    <x v="160"/>
    <x v="167"/>
    <x v="160"/>
  </r>
  <r>
    <x v="5"/>
    <x v="7"/>
    <x v="3"/>
    <x v="0"/>
    <x v="112"/>
    <x v="1"/>
    <x v="0"/>
    <x v="0"/>
    <x v="161"/>
    <x v="168"/>
    <x v="161"/>
  </r>
  <r>
    <x v="2"/>
    <x v="0"/>
    <x v="3"/>
    <x v="2"/>
    <x v="65"/>
    <x v="6"/>
    <x v="0"/>
    <x v="7"/>
    <x v="162"/>
    <x v="169"/>
    <x v="162"/>
  </r>
  <r>
    <x v="2"/>
    <x v="0"/>
    <x v="1"/>
    <x v="3"/>
    <x v="27"/>
    <x v="3"/>
    <x v="0"/>
    <x v="3"/>
    <x v="82"/>
    <x v="170"/>
    <x v="82"/>
  </r>
  <r>
    <x v="6"/>
    <x v="7"/>
    <x v="0"/>
    <x v="4"/>
    <x v="113"/>
    <x v="5"/>
    <x v="0"/>
    <x v="9"/>
    <x v="163"/>
    <x v="171"/>
    <x v="163"/>
  </r>
  <r>
    <x v="6"/>
    <x v="8"/>
    <x v="1"/>
    <x v="4"/>
    <x v="114"/>
    <x v="6"/>
    <x v="0"/>
    <x v="1"/>
    <x v="110"/>
    <x v="172"/>
    <x v="110"/>
  </r>
  <r>
    <x v="2"/>
    <x v="9"/>
    <x v="2"/>
    <x v="1"/>
    <x v="115"/>
    <x v="1"/>
    <x v="0"/>
    <x v="4"/>
    <x v="164"/>
    <x v="173"/>
    <x v="164"/>
  </r>
  <r>
    <x v="7"/>
    <x v="1"/>
    <x v="3"/>
    <x v="2"/>
    <x v="116"/>
    <x v="2"/>
    <x v="0"/>
    <x v="6"/>
    <x v="165"/>
    <x v="174"/>
    <x v="165"/>
  </r>
  <r>
    <x v="4"/>
    <x v="1"/>
    <x v="1"/>
    <x v="4"/>
    <x v="40"/>
    <x v="0"/>
    <x v="0"/>
    <x v="0"/>
    <x v="166"/>
    <x v="175"/>
    <x v="166"/>
  </r>
  <r>
    <x v="6"/>
    <x v="4"/>
    <x v="2"/>
    <x v="3"/>
    <x v="117"/>
    <x v="4"/>
    <x v="0"/>
    <x v="1"/>
    <x v="167"/>
    <x v="176"/>
    <x v="167"/>
  </r>
  <r>
    <x v="9"/>
    <x v="3"/>
    <x v="1"/>
    <x v="3"/>
    <x v="71"/>
    <x v="2"/>
    <x v="0"/>
    <x v="2"/>
    <x v="168"/>
    <x v="177"/>
    <x v="168"/>
  </r>
  <r>
    <x v="1"/>
    <x v="0"/>
    <x v="2"/>
    <x v="4"/>
    <x v="118"/>
    <x v="1"/>
    <x v="0"/>
    <x v="3"/>
    <x v="169"/>
    <x v="178"/>
    <x v="169"/>
  </r>
  <r>
    <x v="9"/>
    <x v="1"/>
    <x v="1"/>
    <x v="2"/>
    <x v="97"/>
    <x v="3"/>
    <x v="0"/>
    <x v="5"/>
    <x v="170"/>
    <x v="179"/>
    <x v="170"/>
  </r>
  <r>
    <x v="8"/>
    <x v="1"/>
    <x v="1"/>
    <x v="3"/>
    <x v="59"/>
    <x v="6"/>
    <x v="0"/>
    <x v="1"/>
    <x v="171"/>
    <x v="180"/>
    <x v="171"/>
  </r>
  <r>
    <x v="2"/>
    <x v="8"/>
    <x v="1"/>
    <x v="1"/>
    <x v="67"/>
    <x v="2"/>
    <x v="0"/>
    <x v="1"/>
    <x v="172"/>
    <x v="181"/>
    <x v="172"/>
  </r>
  <r>
    <x v="7"/>
    <x v="6"/>
    <x v="2"/>
    <x v="2"/>
    <x v="119"/>
    <x v="3"/>
    <x v="0"/>
    <x v="3"/>
    <x v="173"/>
    <x v="182"/>
    <x v="173"/>
  </r>
  <r>
    <x v="9"/>
    <x v="9"/>
    <x v="0"/>
    <x v="3"/>
    <x v="57"/>
    <x v="0"/>
    <x v="0"/>
    <x v="5"/>
    <x v="174"/>
    <x v="183"/>
    <x v="174"/>
  </r>
  <r>
    <x v="5"/>
    <x v="8"/>
    <x v="2"/>
    <x v="3"/>
    <x v="60"/>
    <x v="5"/>
    <x v="0"/>
    <x v="2"/>
    <x v="175"/>
    <x v="184"/>
    <x v="175"/>
  </r>
  <r>
    <x v="1"/>
    <x v="4"/>
    <x v="0"/>
    <x v="4"/>
    <x v="120"/>
    <x v="2"/>
    <x v="0"/>
    <x v="3"/>
    <x v="117"/>
    <x v="185"/>
    <x v="117"/>
  </r>
  <r>
    <x v="9"/>
    <x v="0"/>
    <x v="2"/>
    <x v="4"/>
    <x v="121"/>
    <x v="3"/>
    <x v="0"/>
    <x v="5"/>
    <x v="127"/>
    <x v="186"/>
    <x v="127"/>
  </r>
  <r>
    <x v="3"/>
    <x v="6"/>
    <x v="1"/>
    <x v="4"/>
    <x v="17"/>
    <x v="1"/>
    <x v="0"/>
    <x v="8"/>
    <x v="69"/>
    <x v="187"/>
    <x v="69"/>
  </r>
  <r>
    <x v="8"/>
    <x v="9"/>
    <x v="2"/>
    <x v="2"/>
    <x v="53"/>
    <x v="2"/>
    <x v="0"/>
    <x v="3"/>
    <x v="176"/>
    <x v="188"/>
    <x v="176"/>
  </r>
  <r>
    <x v="2"/>
    <x v="2"/>
    <x v="0"/>
    <x v="1"/>
    <x v="122"/>
    <x v="4"/>
    <x v="0"/>
    <x v="2"/>
    <x v="177"/>
    <x v="189"/>
    <x v="177"/>
  </r>
  <r>
    <x v="9"/>
    <x v="5"/>
    <x v="1"/>
    <x v="5"/>
    <x v="123"/>
    <x v="0"/>
    <x v="0"/>
    <x v="4"/>
    <x v="166"/>
    <x v="190"/>
    <x v="166"/>
  </r>
  <r>
    <x v="5"/>
    <x v="5"/>
    <x v="1"/>
    <x v="1"/>
    <x v="95"/>
    <x v="5"/>
    <x v="0"/>
    <x v="6"/>
    <x v="131"/>
    <x v="191"/>
    <x v="131"/>
  </r>
  <r>
    <x v="4"/>
    <x v="6"/>
    <x v="3"/>
    <x v="2"/>
    <x v="50"/>
    <x v="6"/>
    <x v="0"/>
    <x v="4"/>
    <x v="178"/>
    <x v="192"/>
    <x v="178"/>
  </r>
  <r>
    <x v="3"/>
    <x v="3"/>
    <x v="1"/>
    <x v="0"/>
    <x v="124"/>
    <x v="1"/>
    <x v="0"/>
    <x v="3"/>
    <x v="179"/>
    <x v="193"/>
    <x v="179"/>
  </r>
  <r>
    <x v="6"/>
    <x v="4"/>
    <x v="1"/>
    <x v="1"/>
    <x v="47"/>
    <x v="2"/>
    <x v="0"/>
    <x v="5"/>
    <x v="173"/>
    <x v="194"/>
    <x v="173"/>
  </r>
  <r>
    <x v="0"/>
    <x v="9"/>
    <x v="3"/>
    <x v="5"/>
    <x v="10"/>
    <x v="6"/>
    <x v="0"/>
    <x v="1"/>
    <x v="180"/>
    <x v="195"/>
    <x v="180"/>
  </r>
  <r>
    <x v="4"/>
    <x v="2"/>
    <x v="0"/>
    <x v="5"/>
    <x v="125"/>
    <x v="0"/>
    <x v="0"/>
    <x v="7"/>
    <x v="181"/>
    <x v="196"/>
    <x v="181"/>
  </r>
  <r>
    <x v="3"/>
    <x v="1"/>
    <x v="3"/>
    <x v="3"/>
    <x v="84"/>
    <x v="6"/>
    <x v="0"/>
    <x v="2"/>
    <x v="182"/>
    <x v="197"/>
    <x v="182"/>
  </r>
  <r>
    <x v="0"/>
    <x v="6"/>
    <x v="2"/>
    <x v="3"/>
    <x v="126"/>
    <x v="6"/>
    <x v="0"/>
    <x v="7"/>
    <x v="183"/>
    <x v="198"/>
    <x v="183"/>
  </r>
  <r>
    <x v="0"/>
    <x v="9"/>
    <x v="0"/>
    <x v="4"/>
    <x v="127"/>
    <x v="0"/>
    <x v="0"/>
    <x v="8"/>
    <x v="184"/>
    <x v="199"/>
    <x v="184"/>
  </r>
  <r>
    <x v="8"/>
    <x v="0"/>
    <x v="0"/>
    <x v="0"/>
    <x v="105"/>
    <x v="2"/>
    <x v="0"/>
    <x v="6"/>
    <x v="185"/>
    <x v="200"/>
    <x v="185"/>
  </r>
  <r>
    <x v="8"/>
    <x v="0"/>
    <x v="2"/>
    <x v="0"/>
    <x v="128"/>
    <x v="0"/>
    <x v="0"/>
    <x v="0"/>
    <x v="186"/>
    <x v="201"/>
    <x v="186"/>
  </r>
  <r>
    <x v="6"/>
    <x v="0"/>
    <x v="3"/>
    <x v="1"/>
    <x v="21"/>
    <x v="5"/>
    <x v="0"/>
    <x v="0"/>
    <x v="136"/>
    <x v="202"/>
    <x v="136"/>
  </r>
  <r>
    <x v="1"/>
    <x v="0"/>
    <x v="2"/>
    <x v="0"/>
    <x v="129"/>
    <x v="5"/>
    <x v="0"/>
    <x v="9"/>
    <x v="118"/>
    <x v="119"/>
    <x v="118"/>
  </r>
  <r>
    <x v="6"/>
    <x v="6"/>
    <x v="0"/>
    <x v="5"/>
    <x v="23"/>
    <x v="1"/>
    <x v="0"/>
    <x v="5"/>
    <x v="66"/>
    <x v="203"/>
    <x v="66"/>
  </r>
  <r>
    <x v="6"/>
    <x v="8"/>
    <x v="1"/>
    <x v="2"/>
    <x v="130"/>
    <x v="0"/>
    <x v="0"/>
    <x v="4"/>
    <x v="187"/>
    <x v="204"/>
    <x v="187"/>
  </r>
  <r>
    <x v="0"/>
    <x v="6"/>
    <x v="0"/>
    <x v="2"/>
    <x v="109"/>
    <x v="5"/>
    <x v="0"/>
    <x v="6"/>
    <x v="188"/>
    <x v="205"/>
    <x v="188"/>
  </r>
  <r>
    <x v="4"/>
    <x v="3"/>
    <x v="0"/>
    <x v="5"/>
    <x v="22"/>
    <x v="2"/>
    <x v="0"/>
    <x v="9"/>
    <x v="189"/>
    <x v="206"/>
    <x v="189"/>
  </r>
  <r>
    <x v="8"/>
    <x v="2"/>
    <x v="0"/>
    <x v="3"/>
    <x v="117"/>
    <x v="4"/>
    <x v="0"/>
    <x v="3"/>
    <x v="190"/>
    <x v="207"/>
    <x v="190"/>
  </r>
  <r>
    <x v="8"/>
    <x v="5"/>
    <x v="1"/>
    <x v="1"/>
    <x v="95"/>
    <x v="5"/>
    <x v="0"/>
    <x v="1"/>
    <x v="191"/>
    <x v="208"/>
    <x v="191"/>
  </r>
  <r>
    <x v="6"/>
    <x v="8"/>
    <x v="1"/>
    <x v="0"/>
    <x v="30"/>
    <x v="3"/>
    <x v="0"/>
    <x v="4"/>
    <x v="192"/>
    <x v="209"/>
    <x v="192"/>
  </r>
  <r>
    <x v="0"/>
    <x v="4"/>
    <x v="1"/>
    <x v="1"/>
    <x v="131"/>
    <x v="0"/>
    <x v="0"/>
    <x v="0"/>
    <x v="190"/>
    <x v="210"/>
    <x v="190"/>
  </r>
  <r>
    <x v="0"/>
    <x v="6"/>
    <x v="3"/>
    <x v="2"/>
    <x v="80"/>
    <x v="2"/>
    <x v="0"/>
    <x v="5"/>
    <x v="173"/>
    <x v="194"/>
    <x v="173"/>
  </r>
  <r>
    <x v="1"/>
    <x v="7"/>
    <x v="2"/>
    <x v="2"/>
    <x v="69"/>
    <x v="0"/>
    <x v="0"/>
    <x v="5"/>
    <x v="76"/>
    <x v="211"/>
    <x v="76"/>
  </r>
  <r>
    <x v="2"/>
    <x v="5"/>
    <x v="1"/>
    <x v="0"/>
    <x v="128"/>
    <x v="0"/>
    <x v="0"/>
    <x v="8"/>
    <x v="193"/>
    <x v="212"/>
    <x v="193"/>
  </r>
  <r>
    <x v="5"/>
    <x v="6"/>
    <x v="0"/>
    <x v="4"/>
    <x v="17"/>
    <x v="1"/>
    <x v="0"/>
    <x v="5"/>
    <x v="194"/>
    <x v="213"/>
    <x v="194"/>
  </r>
  <r>
    <x v="2"/>
    <x v="2"/>
    <x v="3"/>
    <x v="4"/>
    <x v="121"/>
    <x v="3"/>
    <x v="0"/>
    <x v="2"/>
    <x v="35"/>
    <x v="35"/>
    <x v="35"/>
  </r>
  <r>
    <x v="9"/>
    <x v="5"/>
    <x v="3"/>
    <x v="0"/>
    <x v="132"/>
    <x v="2"/>
    <x v="0"/>
    <x v="7"/>
    <x v="195"/>
    <x v="214"/>
    <x v="195"/>
  </r>
  <r>
    <x v="9"/>
    <x v="9"/>
    <x v="1"/>
    <x v="1"/>
    <x v="133"/>
    <x v="4"/>
    <x v="0"/>
    <x v="2"/>
    <x v="196"/>
    <x v="215"/>
    <x v="196"/>
  </r>
  <r>
    <x v="4"/>
    <x v="2"/>
    <x v="2"/>
    <x v="2"/>
    <x v="77"/>
    <x v="5"/>
    <x v="0"/>
    <x v="1"/>
    <x v="197"/>
    <x v="216"/>
    <x v="197"/>
  </r>
  <r>
    <x v="7"/>
    <x v="5"/>
    <x v="3"/>
    <x v="1"/>
    <x v="47"/>
    <x v="2"/>
    <x v="0"/>
    <x v="1"/>
    <x v="198"/>
    <x v="217"/>
    <x v="198"/>
  </r>
  <r>
    <x v="6"/>
    <x v="4"/>
    <x v="0"/>
    <x v="0"/>
    <x v="49"/>
    <x v="5"/>
    <x v="0"/>
    <x v="3"/>
    <x v="199"/>
    <x v="218"/>
    <x v="199"/>
  </r>
  <r>
    <x v="6"/>
    <x v="5"/>
    <x v="1"/>
    <x v="1"/>
    <x v="104"/>
    <x v="4"/>
    <x v="0"/>
    <x v="6"/>
    <x v="200"/>
    <x v="219"/>
    <x v="200"/>
  </r>
  <r>
    <x v="2"/>
    <x v="3"/>
    <x v="0"/>
    <x v="4"/>
    <x v="62"/>
    <x v="4"/>
    <x v="0"/>
    <x v="4"/>
    <x v="201"/>
    <x v="220"/>
    <x v="201"/>
  </r>
  <r>
    <x v="5"/>
    <x v="6"/>
    <x v="0"/>
    <x v="0"/>
    <x v="90"/>
    <x v="2"/>
    <x v="0"/>
    <x v="7"/>
    <x v="202"/>
    <x v="221"/>
    <x v="202"/>
  </r>
  <r>
    <x v="8"/>
    <x v="1"/>
    <x v="0"/>
    <x v="4"/>
    <x v="6"/>
    <x v="4"/>
    <x v="0"/>
    <x v="7"/>
    <x v="203"/>
    <x v="222"/>
    <x v="203"/>
  </r>
  <r>
    <x v="6"/>
    <x v="3"/>
    <x v="2"/>
    <x v="1"/>
    <x v="85"/>
    <x v="4"/>
    <x v="0"/>
    <x v="0"/>
    <x v="20"/>
    <x v="223"/>
    <x v="20"/>
  </r>
  <r>
    <x v="3"/>
    <x v="3"/>
    <x v="1"/>
    <x v="5"/>
    <x v="70"/>
    <x v="4"/>
    <x v="0"/>
    <x v="4"/>
    <x v="204"/>
    <x v="224"/>
    <x v="204"/>
  </r>
  <r>
    <x v="4"/>
    <x v="6"/>
    <x v="1"/>
    <x v="5"/>
    <x v="72"/>
    <x v="0"/>
    <x v="0"/>
    <x v="4"/>
    <x v="205"/>
    <x v="225"/>
    <x v="205"/>
  </r>
  <r>
    <x v="9"/>
    <x v="4"/>
    <x v="2"/>
    <x v="5"/>
    <x v="10"/>
    <x v="6"/>
    <x v="0"/>
    <x v="3"/>
    <x v="206"/>
    <x v="226"/>
    <x v="206"/>
  </r>
  <r>
    <x v="9"/>
    <x v="1"/>
    <x v="1"/>
    <x v="1"/>
    <x v="134"/>
    <x v="6"/>
    <x v="0"/>
    <x v="6"/>
    <x v="207"/>
    <x v="227"/>
    <x v="207"/>
  </r>
  <r>
    <x v="7"/>
    <x v="7"/>
    <x v="1"/>
    <x v="3"/>
    <x v="101"/>
    <x v="5"/>
    <x v="0"/>
    <x v="2"/>
    <x v="94"/>
    <x v="228"/>
    <x v="94"/>
  </r>
  <r>
    <x v="0"/>
    <x v="2"/>
    <x v="1"/>
    <x v="2"/>
    <x v="102"/>
    <x v="5"/>
    <x v="0"/>
    <x v="1"/>
    <x v="208"/>
    <x v="229"/>
    <x v="208"/>
  </r>
  <r>
    <x v="2"/>
    <x v="6"/>
    <x v="0"/>
    <x v="2"/>
    <x v="102"/>
    <x v="5"/>
    <x v="0"/>
    <x v="5"/>
    <x v="209"/>
    <x v="230"/>
    <x v="209"/>
  </r>
  <r>
    <x v="7"/>
    <x v="0"/>
    <x v="0"/>
    <x v="0"/>
    <x v="135"/>
    <x v="0"/>
    <x v="0"/>
    <x v="9"/>
    <x v="73"/>
    <x v="231"/>
    <x v="73"/>
  </r>
  <r>
    <x v="6"/>
    <x v="8"/>
    <x v="1"/>
    <x v="3"/>
    <x v="136"/>
    <x v="0"/>
    <x v="0"/>
    <x v="1"/>
    <x v="210"/>
    <x v="232"/>
    <x v="210"/>
  </r>
  <r>
    <x v="8"/>
    <x v="8"/>
    <x v="0"/>
    <x v="2"/>
    <x v="119"/>
    <x v="3"/>
    <x v="0"/>
    <x v="7"/>
    <x v="211"/>
    <x v="233"/>
    <x v="211"/>
  </r>
  <r>
    <x v="9"/>
    <x v="9"/>
    <x v="3"/>
    <x v="5"/>
    <x v="72"/>
    <x v="0"/>
    <x v="0"/>
    <x v="1"/>
    <x v="210"/>
    <x v="232"/>
    <x v="210"/>
  </r>
  <r>
    <x v="5"/>
    <x v="9"/>
    <x v="0"/>
    <x v="2"/>
    <x v="73"/>
    <x v="0"/>
    <x v="0"/>
    <x v="1"/>
    <x v="212"/>
    <x v="234"/>
    <x v="212"/>
  </r>
  <r>
    <x v="2"/>
    <x v="3"/>
    <x v="0"/>
    <x v="1"/>
    <x v="1"/>
    <x v="1"/>
    <x v="0"/>
    <x v="0"/>
    <x v="213"/>
    <x v="235"/>
    <x v="213"/>
  </r>
  <r>
    <x v="4"/>
    <x v="6"/>
    <x v="3"/>
    <x v="4"/>
    <x v="20"/>
    <x v="2"/>
    <x v="0"/>
    <x v="8"/>
    <x v="188"/>
    <x v="236"/>
    <x v="188"/>
  </r>
  <r>
    <x v="6"/>
    <x v="6"/>
    <x v="0"/>
    <x v="2"/>
    <x v="92"/>
    <x v="1"/>
    <x v="0"/>
    <x v="1"/>
    <x v="214"/>
    <x v="237"/>
    <x v="214"/>
  </r>
  <r>
    <x v="5"/>
    <x v="1"/>
    <x v="3"/>
    <x v="5"/>
    <x v="23"/>
    <x v="1"/>
    <x v="0"/>
    <x v="3"/>
    <x v="215"/>
    <x v="238"/>
    <x v="215"/>
  </r>
  <r>
    <x v="4"/>
    <x v="0"/>
    <x v="0"/>
    <x v="3"/>
    <x v="137"/>
    <x v="4"/>
    <x v="0"/>
    <x v="9"/>
    <x v="216"/>
    <x v="239"/>
    <x v="216"/>
  </r>
  <r>
    <x v="9"/>
    <x v="0"/>
    <x v="0"/>
    <x v="1"/>
    <x v="138"/>
    <x v="3"/>
    <x v="0"/>
    <x v="5"/>
    <x v="217"/>
    <x v="240"/>
    <x v="217"/>
  </r>
  <r>
    <x v="9"/>
    <x v="4"/>
    <x v="0"/>
    <x v="4"/>
    <x v="139"/>
    <x v="3"/>
    <x v="0"/>
    <x v="2"/>
    <x v="218"/>
    <x v="241"/>
    <x v="218"/>
  </r>
  <r>
    <x v="5"/>
    <x v="8"/>
    <x v="3"/>
    <x v="4"/>
    <x v="140"/>
    <x v="1"/>
    <x v="0"/>
    <x v="4"/>
    <x v="219"/>
    <x v="242"/>
    <x v="21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s v="Aisha"/>
    <s v="Toilet Paper"/>
    <s v="North"/>
    <s v="June"/>
    <d v="2024-06-13T00:00:00"/>
    <n v="5"/>
    <d v="2025-10-09T00:00:00"/>
    <n v="3"/>
    <n v="1448"/>
    <n v="4344"/>
    <n v="1448"/>
  </r>
  <r>
    <s v="Ngozi"/>
    <s v="Yam Flour"/>
    <s v="North"/>
    <s v="January"/>
    <d v="2024-01-03T00:00:00"/>
    <n v="4"/>
    <d v="2025-10-09T00:00:00"/>
    <n v="2"/>
    <n v="1266"/>
    <n v="2532"/>
    <n v="1266"/>
  </r>
  <r>
    <s v="Amaka"/>
    <s v="Yam Flour"/>
    <s v="North"/>
    <s v="February"/>
    <d v="2024-02-15T00:00:00"/>
    <n v="5"/>
    <d v="2025-10-09T00:00:00"/>
    <n v="10"/>
    <n v="845"/>
    <n v="8450"/>
    <n v="845"/>
  </r>
  <r>
    <s v="Uche"/>
    <s v="Cereal"/>
    <s v="North"/>
    <s v="April"/>
    <d v="2024-04-06T00:00:00"/>
    <n v="7"/>
    <d v="2025-10-09T00:00:00"/>
    <n v="1"/>
    <n v="769"/>
    <n v="769"/>
    <n v="769"/>
  </r>
  <r>
    <s v="John"/>
    <s v="Cereal"/>
    <s v="North"/>
    <s v="January"/>
    <d v="2024-01-06T00:00:00"/>
    <n v="7"/>
    <d v="2025-10-09T00:00:00"/>
    <n v="7"/>
    <n v="706"/>
    <n v="4942"/>
    <n v="706"/>
  </r>
  <r>
    <s v="Uche"/>
    <s v="Sardine"/>
    <s v="West"/>
    <s v="February"/>
    <d v="2024-02-09T00:00:00"/>
    <n v="6"/>
    <d v="2025-10-09T00:00:00"/>
    <n v="5"/>
    <n v="586"/>
    <n v="2930"/>
    <n v="586"/>
  </r>
  <r>
    <s v="David"/>
    <s v="Garri"/>
    <s v="East"/>
    <s v="March"/>
    <d v="2024-03-19T00:00:00"/>
    <n v="3"/>
    <d v="2025-10-09T00:00:00"/>
    <n v="6"/>
    <n v="526"/>
    <n v="3156"/>
    <n v="526"/>
  </r>
  <r>
    <s v="Tolu"/>
    <s v="Cooking Oil"/>
    <s v="West"/>
    <s v="February"/>
    <d v="2024-02-07T00:00:00"/>
    <n v="4"/>
    <d v="2025-10-09T00:00:00"/>
    <n v="6"/>
    <n v="1465"/>
    <n v="8790"/>
    <n v="1465"/>
  </r>
  <r>
    <s v="Ngozi"/>
    <s v="Cereal"/>
    <s v="South"/>
    <s v="June"/>
    <d v="2024-06-23T00:00:00"/>
    <n v="1"/>
    <d v="2025-10-09T00:00:00"/>
    <n v="4"/>
    <n v="369"/>
    <n v="1476"/>
    <n v="369"/>
  </r>
  <r>
    <s v="John"/>
    <s v="Soap"/>
    <s v="South"/>
    <s v="June"/>
    <d v="2024-06-14T00:00:00"/>
    <n v="6"/>
    <d v="2025-10-09T00:00:00"/>
    <n v="5"/>
    <n v="1492"/>
    <n v="7460"/>
    <n v="1492"/>
  </r>
  <r>
    <s v="Ngozi"/>
    <s v="Soap"/>
    <s v="East"/>
    <s v="May"/>
    <d v="2024-05-20T00:00:00"/>
    <n v="2"/>
    <d v="2025-10-09T00:00:00"/>
    <n v="7"/>
    <n v="755"/>
    <n v="5285"/>
    <n v="755"/>
  </r>
  <r>
    <s v="John"/>
    <s v="Toilet Paper"/>
    <s v="West"/>
    <s v="January"/>
    <d v="2024-01-19T00:00:00"/>
    <n v="6"/>
    <d v="2025-10-09T00:00:00"/>
    <n v="3"/>
    <n v="1127"/>
    <n v="3381"/>
    <n v="1127"/>
  </r>
  <r>
    <s v="Ngozi"/>
    <s v="Soap"/>
    <s v="West"/>
    <s v="January"/>
    <d v="2024-01-31T00:00:00"/>
    <n v="4"/>
    <d v="2025-10-09T00:00:00"/>
    <n v="1"/>
    <n v="1033"/>
    <n v="1033"/>
    <n v="1033"/>
  </r>
  <r>
    <s v="John"/>
    <s v="Spaghetti"/>
    <s v="West"/>
    <s v="May"/>
    <d v="2024-05-03T00:00:00"/>
    <n v="6"/>
    <d v="2025-10-09T00:00:00"/>
    <n v="6"/>
    <n v="642"/>
    <n v="3852"/>
    <n v="642"/>
  </r>
  <r>
    <s v="Bola"/>
    <s v="Toilet Paper"/>
    <s v="West"/>
    <s v="March"/>
    <d v="2024-03-13T00:00:00"/>
    <n v="4"/>
    <d v="2025-10-09T00:00:00"/>
    <n v="4"/>
    <n v="665"/>
    <n v="2660"/>
    <n v="665"/>
  </r>
  <r>
    <s v="Blessing"/>
    <s v="Cereal"/>
    <s v="East"/>
    <s v="June"/>
    <d v="2024-06-04T00:00:00"/>
    <n v="3"/>
    <d v="2025-10-09T00:00:00"/>
    <n v="5"/>
    <n v="983"/>
    <n v="4915"/>
    <n v="983"/>
  </r>
  <r>
    <s v="Bola"/>
    <s v="Sardine"/>
    <s v="East"/>
    <s v="April"/>
    <d v="2024-04-02T00:00:00"/>
    <n v="3"/>
    <d v="2025-10-09T00:00:00"/>
    <n v="4"/>
    <n v="663"/>
    <n v="2652"/>
    <n v="663"/>
  </r>
  <r>
    <s v="Blessing"/>
    <s v="Yam Flour"/>
    <s v="West"/>
    <s v="March"/>
    <d v="2024-03-06T00:00:00"/>
    <n v="4"/>
    <d v="2025-10-09T00:00:00"/>
    <n v="10"/>
    <n v="477"/>
    <n v="4770"/>
    <n v="477"/>
  </r>
  <r>
    <s v="Uche"/>
    <s v="Toilet Paper"/>
    <s v="East"/>
    <s v="March"/>
    <d v="2024-03-31T00:00:00"/>
    <n v="1"/>
    <d v="2025-10-09T00:00:00"/>
    <n v="6"/>
    <n v="740"/>
    <n v="4440"/>
    <n v="740"/>
  </r>
  <r>
    <s v="Ngozi"/>
    <s v="Yam Flour"/>
    <s v="South"/>
    <s v="June"/>
    <d v="2024-06-06T00:00:00"/>
    <n v="5"/>
    <d v="2025-10-09T00:00:00"/>
    <n v="5"/>
    <n v="479"/>
    <n v="2395"/>
    <n v="479"/>
  </r>
  <r>
    <s v="Blessing"/>
    <s v="Sardine"/>
    <s v="East"/>
    <s v="March"/>
    <d v="2024-03-09T00:00:00"/>
    <n v="7"/>
    <d v="2025-10-09T00:00:00"/>
    <n v="1"/>
    <n v="1017"/>
    <n v="1017"/>
    <n v="1017"/>
  </r>
  <r>
    <s v="Blessing"/>
    <s v="Garri"/>
    <s v="East"/>
    <s v="January"/>
    <d v="2024-01-07T00:00:00"/>
    <n v="1"/>
    <d v="2025-10-09T00:00:00"/>
    <n v="8"/>
    <n v="1114"/>
    <n v="8912"/>
    <n v="1114"/>
  </r>
  <r>
    <s v="Uche"/>
    <s v="Detergent"/>
    <s v="South"/>
    <s v="May"/>
    <d v="2024-05-11T00:00:00"/>
    <n v="7"/>
    <d v="2025-10-09T00:00:00"/>
    <n v="9"/>
    <n v="1125"/>
    <n v="10125"/>
    <n v="1125"/>
  </r>
  <r>
    <s v="John"/>
    <s v="Yam Flour"/>
    <s v="North"/>
    <s v="May"/>
    <d v="2024-05-29T00:00:00"/>
    <n v="4"/>
    <d v="2025-10-09T00:00:00"/>
    <n v="5"/>
    <n v="1374"/>
    <n v="6870"/>
    <n v="1374"/>
  </r>
  <r>
    <s v="Amaka"/>
    <s v="Garri"/>
    <s v="South"/>
    <s v="February"/>
    <d v="2024-02-07T00:00:00"/>
    <n v="4"/>
    <d v="2025-10-09T00:00:00"/>
    <n v="5"/>
    <n v="1362"/>
    <n v="6810"/>
    <n v="1362"/>
  </r>
  <r>
    <s v="Tolu"/>
    <s v="Sardine"/>
    <s v="North"/>
    <s v="May"/>
    <d v="2024-05-07T00:00:00"/>
    <n v="3"/>
    <d v="2025-10-09T00:00:00"/>
    <n v="4"/>
    <n v="1039"/>
    <n v="4156"/>
    <n v="1039"/>
  </r>
  <r>
    <s v="Ngozi"/>
    <s v="Toilet Paper"/>
    <s v="South"/>
    <s v="February"/>
    <d v="2024-02-20T00:00:00"/>
    <n v="3"/>
    <d v="2025-10-09T00:00:00"/>
    <n v="1"/>
    <n v="636"/>
    <n v="636"/>
    <n v="636"/>
  </r>
  <r>
    <s v="Uche"/>
    <s v="Cereal"/>
    <s v="South"/>
    <s v="June"/>
    <d v="2024-06-26T00:00:00"/>
    <n v="4"/>
    <d v="2025-10-09T00:00:00"/>
    <n v="9"/>
    <n v="1099"/>
    <n v="9891"/>
    <n v="1099"/>
  </r>
  <r>
    <s v="Tolu"/>
    <s v="Yam Flour"/>
    <s v="West"/>
    <s v="April"/>
    <d v="2024-04-05T00:00:00"/>
    <n v="6"/>
    <d v="2025-10-09T00:00:00"/>
    <n v="7"/>
    <n v="1083"/>
    <n v="7581"/>
    <n v="1083"/>
  </r>
  <r>
    <s v="Bola"/>
    <s v="Cooking Oil"/>
    <s v="West"/>
    <s v="March"/>
    <d v="2024-03-15T00:00:00"/>
    <n v="6"/>
    <d v="2025-10-09T00:00:00"/>
    <n v="2"/>
    <n v="760"/>
    <n v="1520"/>
    <n v="760"/>
  </r>
  <r>
    <s v="Emeka"/>
    <s v="Toilet Paper"/>
    <s v="East"/>
    <s v="March"/>
    <d v="2024-03-02T00:00:00"/>
    <n v="7"/>
    <d v="2025-10-09T00:00:00"/>
    <n v="6"/>
    <n v="559"/>
    <n v="3354"/>
    <n v="559"/>
  </r>
  <r>
    <s v="John"/>
    <s v="Cereal"/>
    <s v="South"/>
    <s v="June"/>
    <d v="2024-06-28T00:00:00"/>
    <n v="6"/>
    <d v="2025-10-09T00:00:00"/>
    <n v="4"/>
    <n v="365"/>
    <n v="1460"/>
    <n v="365"/>
  </r>
  <r>
    <s v="John"/>
    <s v="Soap"/>
    <s v="East"/>
    <s v="June"/>
    <d v="2024-06-24T00:00:00"/>
    <n v="2"/>
    <d v="2025-10-09T00:00:00"/>
    <n v="8"/>
    <n v="449"/>
    <n v="3592"/>
    <n v="449"/>
  </r>
  <r>
    <s v="David"/>
    <s v="Cooking Oil"/>
    <s v="West"/>
    <s v="May"/>
    <d v="2024-05-09T00:00:00"/>
    <n v="5"/>
    <d v="2025-10-09T00:00:00"/>
    <n v="5"/>
    <n v="407"/>
    <n v="2035"/>
    <n v="407"/>
  </r>
  <r>
    <s v="David"/>
    <s v="Toilet Paper"/>
    <s v="South"/>
    <s v="May"/>
    <d v="2024-05-01T00:00:00"/>
    <n v="4"/>
    <d v="2025-10-09T00:00:00"/>
    <n v="2"/>
    <n v="1462"/>
    <n v="2924"/>
    <n v="1462"/>
  </r>
  <r>
    <s v="Blessing"/>
    <s v="Detergent"/>
    <s v="North"/>
    <s v="February"/>
    <d v="2024-02-15T00:00:00"/>
    <n v="5"/>
    <d v="2025-10-09T00:00:00"/>
    <n v="10"/>
    <n v="766"/>
    <n v="7660"/>
    <n v="766"/>
  </r>
  <r>
    <s v="Uche"/>
    <s v="Cooking Oil"/>
    <s v="North"/>
    <s v="April"/>
    <d v="2024-04-21T00:00:00"/>
    <n v="1"/>
    <d v="2025-10-09T00:00:00"/>
    <n v="1"/>
    <n v="749"/>
    <n v="749"/>
    <n v="749"/>
  </r>
  <r>
    <s v="Bola"/>
    <s v="Toilet Paper"/>
    <s v="West"/>
    <s v="May"/>
    <d v="2024-05-02T00:00:00"/>
    <n v="5"/>
    <d v="2025-10-09T00:00:00"/>
    <n v="7"/>
    <n v="362"/>
    <n v="2534"/>
    <n v="362"/>
  </r>
  <r>
    <s v="David"/>
    <s v="Detergent"/>
    <s v="South"/>
    <s v="May"/>
    <d v="2024-05-08T00:00:00"/>
    <n v="4"/>
    <d v="2025-10-09T00:00:00"/>
    <n v="8"/>
    <n v="1077"/>
    <n v="8616"/>
    <n v="1077"/>
  </r>
  <r>
    <s v="Blessing"/>
    <s v="Yam Flour"/>
    <s v="East"/>
    <s v="March"/>
    <d v="2024-03-24T00:00:00"/>
    <n v="1"/>
    <d v="2025-10-09T00:00:00"/>
    <n v="7"/>
    <n v="1353"/>
    <n v="9471"/>
    <n v="1353"/>
  </r>
  <r>
    <s v="Ngozi"/>
    <s v="Spaghetti"/>
    <s v="South"/>
    <s v="March"/>
    <d v="2024-03-14T00:00:00"/>
    <n v="5"/>
    <d v="2025-10-09T00:00:00"/>
    <n v="4"/>
    <n v="436"/>
    <n v="1744"/>
    <n v="436"/>
  </r>
  <r>
    <s v="John"/>
    <s v="Garri"/>
    <s v="East"/>
    <s v="June"/>
    <d v="2024-06-26T00:00:00"/>
    <n v="4"/>
    <d v="2025-10-09T00:00:00"/>
    <n v="2"/>
    <n v="705"/>
    <n v="1410"/>
    <n v="705"/>
  </r>
  <r>
    <s v="Amaka"/>
    <s v="Milk"/>
    <s v="West"/>
    <s v="June"/>
    <d v="2024-06-29T00:00:00"/>
    <n v="7"/>
    <d v="2025-10-09T00:00:00"/>
    <n v="10"/>
    <n v="895"/>
    <n v="8950"/>
    <n v="895"/>
  </r>
  <r>
    <s v="Tolu"/>
    <s v="Garri"/>
    <s v="East"/>
    <s v="February"/>
    <d v="2024-02-15T00:00:00"/>
    <n v="5"/>
    <d v="2025-10-09T00:00:00"/>
    <n v="6"/>
    <n v="1130"/>
    <n v="6780"/>
    <n v="1130"/>
  </r>
  <r>
    <s v="Aisha"/>
    <s v="Cereal"/>
    <s v="West"/>
    <s v="May"/>
    <d v="2024-05-07T00:00:00"/>
    <n v="3"/>
    <d v="2025-10-09T00:00:00"/>
    <n v="6"/>
    <n v="1023"/>
    <n v="6138"/>
    <n v="1023"/>
  </r>
  <r>
    <s v="Ngozi"/>
    <s v="Cereal"/>
    <s v="West"/>
    <s v="March"/>
    <d v="2024-03-07T00:00:00"/>
    <n v="5"/>
    <d v="2025-10-09T00:00:00"/>
    <n v="6"/>
    <n v="526"/>
    <n v="3156"/>
    <n v="526"/>
  </r>
  <r>
    <s v="Amaka"/>
    <s v="Garri"/>
    <s v="South"/>
    <s v="June"/>
    <d v="2024-06-14T00:00:00"/>
    <n v="6"/>
    <d v="2025-10-09T00:00:00"/>
    <n v="8"/>
    <n v="861"/>
    <n v="6888"/>
    <n v="861"/>
  </r>
  <r>
    <s v="Tolu"/>
    <s v="Sardine"/>
    <s v="West"/>
    <s v="January"/>
    <d v="2024-01-21T00:00:00"/>
    <n v="1"/>
    <d v="2025-10-09T00:00:00"/>
    <n v="1"/>
    <n v="1046"/>
    <n v="1046"/>
    <n v="1046"/>
  </r>
  <r>
    <s v="Uche"/>
    <s v="Cereal"/>
    <s v="North"/>
    <s v="April"/>
    <d v="2024-04-23T00:00:00"/>
    <n v="3"/>
    <d v="2025-10-09T00:00:00"/>
    <n v="10"/>
    <n v="1429"/>
    <n v="14290"/>
    <n v="1429"/>
  </r>
  <r>
    <s v="John"/>
    <s v="Cooking Oil"/>
    <s v="South"/>
    <s v="January"/>
    <d v="2024-01-22T00:00:00"/>
    <n v="2"/>
    <d v="2025-10-09T00:00:00"/>
    <n v="2"/>
    <n v="1126"/>
    <n v="2252"/>
    <n v="1126"/>
  </r>
  <r>
    <s v="Blessing"/>
    <s v="Milk"/>
    <s v="West"/>
    <s v="April"/>
    <d v="2024-04-22T00:00:00"/>
    <n v="2"/>
    <d v="2025-10-09T00:00:00"/>
    <n v="2"/>
    <n v="676"/>
    <n v="1352"/>
    <n v="676"/>
  </r>
  <r>
    <s v="Bola"/>
    <s v="Cereal"/>
    <s v="West"/>
    <s v="April"/>
    <d v="2024-04-02T00:00:00"/>
    <n v="3"/>
    <d v="2025-10-09T00:00:00"/>
    <n v="6"/>
    <n v="688"/>
    <n v="4128"/>
    <n v="688"/>
  </r>
  <r>
    <s v="Tolu"/>
    <s v="Sardine"/>
    <s v="West"/>
    <s v="May"/>
    <d v="2024-05-24T00:00:00"/>
    <n v="6"/>
    <d v="2025-10-09T00:00:00"/>
    <n v="2"/>
    <n v="789"/>
    <n v="1578"/>
    <n v="789"/>
  </r>
  <r>
    <s v="David"/>
    <s v="Milk"/>
    <s v="West"/>
    <s v="June"/>
    <d v="2024-06-08T00:00:00"/>
    <n v="7"/>
    <d v="2025-10-09T00:00:00"/>
    <n v="3"/>
    <n v="1448"/>
    <n v="4344"/>
    <n v="1448"/>
  </r>
  <r>
    <s v="Emeka"/>
    <s v="Milk"/>
    <s v="North"/>
    <s v="January"/>
    <d v="2024-01-20T00:00:00"/>
    <n v="7"/>
    <d v="2025-10-09T00:00:00"/>
    <n v="5"/>
    <n v="373"/>
    <n v="1865"/>
    <n v="373"/>
  </r>
  <r>
    <s v="Aisha"/>
    <s v="Toilet Paper"/>
    <s v="West"/>
    <s v="March"/>
    <d v="2024-03-08T00:00:00"/>
    <n v="6"/>
    <d v="2025-10-09T00:00:00"/>
    <n v="8"/>
    <n v="1286"/>
    <n v="10288"/>
    <n v="1286"/>
  </r>
  <r>
    <s v="Blessing"/>
    <s v="Cooking Oil"/>
    <s v="South"/>
    <s v="June"/>
    <d v="2024-06-02T00:00:00"/>
    <n v="1"/>
    <d v="2025-10-09T00:00:00"/>
    <n v="8"/>
    <n v="852"/>
    <n v="6816"/>
    <n v="852"/>
  </r>
  <r>
    <s v="Blessing"/>
    <s v="Toilet Paper"/>
    <s v="South"/>
    <s v="February"/>
    <d v="2024-02-12T00:00:00"/>
    <n v="2"/>
    <d v="2025-10-09T00:00:00"/>
    <n v="5"/>
    <n v="1465"/>
    <n v="7325"/>
    <n v="1465"/>
  </r>
  <r>
    <s v="Ngozi"/>
    <s v="Cereal"/>
    <s v="East"/>
    <s v="June"/>
    <d v="2024-06-10T00:00:00"/>
    <n v="2"/>
    <d v="2025-10-09T00:00:00"/>
    <n v="10"/>
    <n v="1227"/>
    <n v="12270"/>
    <n v="1227"/>
  </r>
  <r>
    <s v="Blessing"/>
    <s v="Cereal"/>
    <s v="South"/>
    <s v="April"/>
    <d v="2024-04-28T00:00:00"/>
    <n v="1"/>
    <d v="2025-10-09T00:00:00"/>
    <n v="10"/>
    <n v="1299"/>
    <n v="12990"/>
    <n v="1299"/>
  </r>
  <r>
    <s v="David"/>
    <s v="Yam Flour"/>
    <s v="East"/>
    <s v="April"/>
    <d v="2024-04-28T00:00:00"/>
    <n v="1"/>
    <d v="2025-10-09T00:00:00"/>
    <n v="10"/>
    <n v="830"/>
    <n v="8300"/>
    <n v="830"/>
  </r>
  <r>
    <s v="Bola"/>
    <s v="Cooking Oil"/>
    <s v="South"/>
    <s v="February"/>
    <d v="2024-02-10T00:00:00"/>
    <n v="7"/>
    <d v="2025-10-09T00:00:00"/>
    <n v="5"/>
    <n v="606"/>
    <n v="3030"/>
    <n v="606"/>
  </r>
  <r>
    <s v="Ngozi"/>
    <s v="Toilet Paper"/>
    <s v="North"/>
    <s v="January"/>
    <d v="2024-01-07T00:00:00"/>
    <n v="1"/>
    <d v="2025-10-09T00:00:00"/>
    <n v="6"/>
    <n v="970"/>
    <n v="5820"/>
    <n v="970"/>
  </r>
  <r>
    <s v="Aisha"/>
    <s v="Sardine"/>
    <s v="West"/>
    <s v="March"/>
    <d v="2024-03-10T00:00:00"/>
    <n v="1"/>
    <d v="2025-10-09T00:00:00"/>
    <n v="9"/>
    <n v="1340"/>
    <n v="12060"/>
    <n v="1340"/>
  </r>
  <r>
    <s v="Uche"/>
    <s v="Detergent"/>
    <s v="East"/>
    <s v="June"/>
    <d v="2024-06-29T00:00:00"/>
    <n v="7"/>
    <d v="2025-10-09T00:00:00"/>
    <n v="5"/>
    <n v="1495"/>
    <n v="7475"/>
    <n v="1495"/>
  </r>
  <r>
    <s v="John"/>
    <s v="Milk"/>
    <s v="West"/>
    <s v="June"/>
    <d v="2024-06-13T00:00:00"/>
    <n v="5"/>
    <d v="2025-10-09T00:00:00"/>
    <n v="10"/>
    <n v="1389"/>
    <n v="13890"/>
    <n v="1389"/>
  </r>
  <r>
    <s v="Aisha"/>
    <s v="Toilet Paper"/>
    <s v="West"/>
    <s v="June"/>
    <d v="2024-06-21T00:00:00"/>
    <n v="6"/>
    <d v="2025-10-09T00:00:00"/>
    <n v="5"/>
    <n v="395"/>
    <n v="1975"/>
    <n v="395"/>
  </r>
  <r>
    <s v="Ngozi"/>
    <s v="Garri"/>
    <s v="North"/>
    <s v="March"/>
    <d v="2024-03-03T00:00:00"/>
    <n v="1"/>
    <d v="2025-10-09T00:00:00"/>
    <n v="4"/>
    <n v="1118"/>
    <n v="4472"/>
    <n v="1118"/>
  </r>
  <r>
    <s v="Blessing"/>
    <s v="Soap"/>
    <s v="East"/>
    <s v="March"/>
    <d v="2024-03-06T00:00:00"/>
    <n v="4"/>
    <d v="2025-10-09T00:00:00"/>
    <n v="5"/>
    <n v="979"/>
    <n v="4895"/>
    <n v="979"/>
  </r>
  <r>
    <s v="Ngozi"/>
    <s v="Detergent"/>
    <s v="East"/>
    <s v="April"/>
    <d v="2024-04-22T00:00:00"/>
    <n v="2"/>
    <d v="2025-10-09T00:00:00"/>
    <n v="4"/>
    <n v="677"/>
    <n v="2708"/>
    <n v="677"/>
  </r>
  <r>
    <s v="John"/>
    <s v="Toilet Paper"/>
    <s v="South"/>
    <s v="April"/>
    <d v="2024-04-25T00:00:00"/>
    <n v="5"/>
    <d v="2025-10-09T00:00:00"/>
    <n v="3"/>
    <n v="1012"/>
    <n v="3036"/>
    <n v="1012"/>
  </r>
  <r>
    <s v="Bola"/>
    <s v="Soap"/>
    <s v="East"/>
    <s v="March"/>
    <d v="2024-03-25T00:00:00"/>
    <n v="2"/>
    <d v="2025-10-09T00:00:00"/>
    <n v="10"/>
    <n v="1232"/>
    <n v="12320"/>
    <n v="1232"/>
  </r>
  <r>
    <s v="Amaka"/>
    <s v="Spaghetti"/>
    <s v="West"/>
    <s v="April"/>
    <d v="2024-04-01T00:00:00"/>
    <n v="2"/>
    <d v="2025-10-09T00:00:00"/>
    <n v="3"/>
    <n v="836"/>
    <n v="2508"/>
    <n v="836"/>
  </r>
  <r>
    <s v="Amaka"/>
    <s v="Garri"/>
    <s v="South"/>
    <s v="April"/>
    <d v="2024-04-14T00:00:00"/>
    <n v="1"/>
    <d v="2025-10-09T00:00:00"/>
    <n v="3"/>
    <n v="1152"/>
    <n v="3456"/>
    <n v="1152"/>
  </r>
  <r>
    <s v="Aisha"/>
    <s v="Cereal"/>
    <s v="South"/>
    <s v="January"/>
    <d v="2024-01-14T00:00:00"/>
    <n v="1"/>
    <d v="2025-10-09T00:00:00"/>
    <n v="9"/>
    <n v="1318"/>
    <n v="11862"/>
    <n v="1318"/>
  </r>
  <r>
    <s v="Ngozi"/>
    <s v="Toilet Paper"/>
    <s v="West"/>
    <s v="March"/>
    <d v="2024-03-12T00:00:00"/>
    <n v="3"/>
    <d v="2025-10-09T00:00:00"/>
    <n v="1"/>
    <n v="870"/>
    <n v="870"/>
    <n v="870"/>
  </r>
  <r>
    <s v="Ngozi"/>
    <s v="Cooking Oil"/>
    <s v="West"/>
    <s v="February"/>
    <d v="2024-02-12T00:00:00"/>
    <n v="2"/>
    <d v="2025-10-09T00:00:00"/>
    <n v="3"/>
    <n v="701"/>
    <n v="2103"/>
    <n v="701"/>
  </r>
  <r>
    <s v="Emeka"/>
    <s v="Soap"/>
    <s v="North"/>
    <s v="May"/>
    <d v="2024-05-04T00:00:00"/>
    <n v="7"/>
    <d v="2025-10-09T00:00:00"/>
    <n v="9"/>
    <n v="518"/>
    <n v="4662"/>
    <n v="518"/>
  </r>
  <r>
    <s v="Amaka"/>
    <s v="Sardine"/>
    <s v="South"/>
    <s v="April"/>
    <d v="2024-04-20T00:00:00"/>
    <n v="7"/>
    <d v="2025-10-09T00:00:00"/>
    <n v="5"/>
    <n v="643"/>
    <n v="3215"/>
    <n v="643"/>
  </r>
  <r>
    <s v="David"/>
    <s v="Toilet Paper"/>
    <s v="West"/>
    <s v="February"/>
    <d v="2024-02-05T00:00:00"/>
    <n v="2"/>
    <d v="2025-10-09T00:00:00"/>
    <n v="10"/>
    <n v="577"/>
    <n v="5770"/>
    <n v="577"/>
  </r>
  <r>
    <s v="John"/>
    <s v="Toilet Paper"/>
    <s v="South"/>
    <s v="May"/>
    <d v="2024-05-08T00:00:00"/>
    <n v="4"/>
    <d v="2025-10-09T00:00:00"/>
    <n v="5"/>
    <n v="505"/>
    <n v="2525"/>
    <n v="505"/>
  </r>
  <r>
    <s v="Blessing"/>
    <s v="Sardine"/>
    <s v="West"/>
    <s v="May"/>
    <d v="2024-05-19T00:00:00"/>
    <n v="1"/>
    <d v="2025-10-09T00:00:00"/>
    <n v="2"/>
    <n v="1500"/>
    <n v="3000"/>
    <n v="1500"/>
  </r>
  <r>
    <s v="Ngozi"/>
    <s v="Yam Flour"/>
    <s v="West"/>
    <s v="April"/>
    <d v="2024-04-14T00:00:00"/>
    <n v="1"/>
    <d v="2025-10-09T00:00:00"/>
    <n v="8"/>
    <n v="520"/>
    <n v="4160"/>
    <n v="520"/>
  </r>
  <r>
    <s v="Tolu"/>
    <s v="Spaghetti"/>
    <s v="West"/>
    <s v="January"/>
    <d v="2024-01-27T00:00:00"/>
    <n v="7"/>
    <d v="2025-10-09T00:00:00"/>
    <n v="3"/>
    <n v="1247"/>
    <n v="3741"/>
    <n v="1247"/>
  </r>
  <r>
    <s v="Tolu"/>
    <s v="Cooking Oil"/>
    <s v="South"/>
    <s v="March"/>
    <d v="2024-03-05T00:00:00"/>
    <n v="3"/>
    <d v="2025-10-09T00:00:00"/>
    <n v="6"/>
    <n v="1187"/>
    <n v="7122"/>
    <n v="1187"/>
  </r>
  <r>
    <s v="Bola"/>
    <s v="Sardine"/>
    <s v="East"/>
    <s v="February"/>
    <d v="2024-02-08T00:00:00"/>
    <n v="5"/>
    <d v="2025-10-09T00:00:00"/>
    <n v="10"/>
    <n v="1450"/>
    <n v="14500"/>
    <n v="1450"/>
  </r>
  <r>
    <s v="Ngozi"/>
    <s v="Spaghetti"/>
    <s v="South"/>
    <s v="May"/>
    <d v="2024-05-14T00:00:00"/>
    <n v="3"/>
    <d v="2025-10-09T00:00:00"/>
    <n v="7"/>
    <n v="1424"/>
    <n v="9968"/>
    <n v="1424"/>
  </r>
  <r>
    <s v="Bola"/>
    <s v="Milk"/>
    <s v="North"/>
    <s v="April"/>
    <d v="2024-04-28T00:00:00"/>
    <n v="1"/>
    <d v="2025-10-09T00:00:00"/>
    <n v="5"/>
    <n v="347"/>
    <n v="1735"/>
    <n v="347"/>
  </r>
  <r>
    <s v="Blessing"/>
    <s v="Yam Flour"/>
    <s v="East"/>
    <s v="April"/>
    <d v="2024-04-13T00:00:00"/>
    <n v="7"/>
    <d v="2025-10-09T00:00:00"/>
    <n v="1"/>
    <n v="1181"/>
    <n v="1181"/>
    <n v="1181"/>
  </r>
  <r>
    <s v="Bola"/>
    <s v="Toilet Paper"/>
    <s v="East"/>
    <s v="May"/>
    <d v="2024-05-16T00:00:00"/>
    <n v="5"/>
    <d v="2025-10-09T00:00:00"/>
    <n v="8"/>
    <n v="491"/>
    <n v="3928"/>
    <n v="491"/>
  </r>
  <r>
    <s v="Bola"/>
    <s v="Yam Flour"/>
    <s v="West"/>
    <s v="March"/>
    <d v="2024-03-12T00:00:00"/>
    <n v="3"/>
    <d v="2025-10-09T00:00:00"/>
    <n v="4"/>
    <n v="1408"/>
    <n v="5632"/>
    <n v="1408"/>
  </r>
  <r>
    <s v="Amaka"/>
    <s v="Sardine"/>
    <s v="West"/>
    <s v="February"/>
    <d v="2024-02-01T00:00:00"/>
    <n v="5"/>
    <d v="2025-10-09T00:00:00"/>
    <n v="8"/>
    <n v="632"/>
    <n v="5056"/>
    <n v="632"/>
  </r>
  <r>
    <s v="John"/>
    <s v="Garri"/>
    <s v="North"/>
    <s v="June"/>
    <d v="2024-06-06T00:00:00"/>
    <n v="5"/>
    <d v="2025-10-09T00:00:00"/>
    <n v="8"/>
    <n v="821"/>
    <n v="6568"/>
    <n v="821"/>
  </r>
  <r>
    <s v="Blessing"/>
    <s v="Detergent"/>
    <s v="East"/>
    <s v="January"/>
    <d v="2024-01-07T00:00:00"/>
    <n v="1"/>
    <d v="2025-10-09T00:00:00"/>
    <n v="6"/>
    <n v="931"/>
    <n v="5586"/>
    <n v="931"/>
  </r>
  <r>
    <s v="David"/>
    <s v="Milk"/>
    <s v="East"/>
    <s v="May"/>
    <d v="2024-05-13T00:00:00"/>
    <n v="2"/>
    <d v="2025-10-09T00:00:00"/>
    <n v="10"/>
    <n v="595"/>
    <n v="5950"/>
    <n v="595"/>
  </r>
  <r>
    <s v="Tolu"/>
    <s v="Spaghetti"/>
    <s v="West"/>
    <s v="March"/>
    <d v="2024-03-16T00:00:00"/>
    <n v="7"/>
    <d v="2025-10-09T00:00:00"/>
    <n v="7"/>
    <n v="441"/>
    <n v="3087"/>
    <n v="441"/>
  </r>
  <r>
    <s v="Uche"/>
    <s v="Detergent"/>
    <s v="South"/>
    <s v="May"/>
    <d v="2024-05-21T00:00:00"/>
    <n v="3"/>
    <d v="2025-10-09T00:00:00"/>
    <n v="2"/>
    <n v="1236"/>
    <n v="2472"/>
    <n v="1236"/>
  </r>
  <r>
    <s v="Tolu"/>
    <s v="Milk"/>
    <s v="East"/>
    <s v="February"/>
    <d v="2024-02-25T00:00:00"/>
    <n v="1"/>
    <d v="2025-10-09T00:00:00"/>
    <n v="1"/>
    <n v="713"/>
    <n v="713"/>
    <n v="713"/>
  </r>
  <r>
    <s v="Ngozi"/>
    <s v="Cereal"/>
    <s v="West"/>
    <s v="March"/>
    <d v="2024-03-29T00:00:00"/>
    <n v="6"/>
    <d v="2025-10-09T00:00:00"/>
    <n v="6"/>
    <n v="1034"/>
    <n v="6204"/>
    <n v="1034"/>
  </r>
  <r>
    <s v="David"/>
    <s v="Soap"/>
    <s v="East"/>
    <s v="May"/>
    <d v="2024-05-10T00:00:00"/>
    <n v="6"/>
    <d v="2025-10-09T00:00:00"/>
    <n v="8"/>
    <n v="1159"/>
    <n v="9272"/>
    <n v="1159"/>
  </r>
  <r>
    <s v="Aisha"/>
    <s v="Garri"/>
    <s v="West"/>
    <s v="February"/>
    <d v="2024-02-24T00:00:00"/>
    <n v="7"/>
    <d v="2025-10-09T00:00:00"/>
    <n v="6"/>
    <n v="827"/>
    <n v="4962"/>
    <n v="827"/>
  </r>
  <r>
    <s v="John"/>
    <s v="Milk"/>
    <s v="West"/>
    <s v="January"/>
    <d v="2024-01-11T00:00:00"/>
    <n v="5"/>
    <d v="2025-10-09T00:00:00"/>
    <n v="2"/>
    <n v="309"/>
    <n v="618"/>
    <n v="309"/>
  </r>
  <r>
    <s v="Bola"/>
    <s v="Cooking Oil"/>
    <s v="South"/>
    <s v="January"/>
    <d v="2024-01-31T00:00:00"/>
    <n v="4"/>
    <d v="2025-10-09T00:00:00"/>
    <n v="10"/>
    <n v="477"/>
    <n v="4770"/>
    <n v="477"/>
  </r>
  <r>
    <s v="Blessing"/>
    <s v="Soap"/>
    <s v="South"/>
    <s v="June"/>
    <d v="2024-06-26T00:00:00"/>
    <n v="4"/>
    <d v="2025-10-09T00:00:00"/>
    <n v="2"/>
    <n v="618"/>
    <n v="1236"/>
    <n v="618"/>
  </r>
  <r>
    <s v="David"/>
    <s v="Toilet Paper"/>
    <s v="North"/>
    <s v="April"/>
    <d v="2024-04-12T00:00:00"/>
    <n v="6"/>
    <d v="2025-10-09T00:00:00"/>
    <n v="1"/>
    <n v="1300"/>
    <n v="1300"/>
    <n v="1300"/>
  </r>
  <r>
    <s v="Tolu"/>
    <s v="Milk"/>
    <s v="South"/>
    <s v="March"/>
    <d v="2024-03-21T00:00:00"/>
    <n v="5"/>
    <d v="2025-10-09T00:00:00"/>
    <n v="8"/>
    <n v="1092"/>
    <n v="8736"/>
    <n v="1092"/>
  </r>
  <r>
    <s v="Emeka"/>
    <s v="Milk"/>
    <s v="North"/>
    <s v="March"/>
    <d v="2024-03-02T00:00:00"/>
    <n v="7"/>
    <d v="2025-10-09T00:00:00"/>
    <n v="6"/>
    <n v="737"/>
    <n v="4422"/>
    <n v="737"/>
  </r>
  <r>
    <s v="Tolu"/>
    <s v="Sardine"/>
    <s v="West"/>
    <s v="April"/>
    <d v="2024-04-15T00:00:00"/>
    <n v="2"/>
    <d v="2025-10-09T00:00:00"/>
    <n v="6"/>
    <n v="1093"/>
    <n v="6558"/>
    <n v="1093"/>
  </r>
  <r>
    <s v="Bola"/>
    <s v="Sardine"/>
    <s v="South"/>
    <s v="January"/>
    <d v="2024-01-30T00:00:00"/>
    <n v="3"/>
    <d v="2025-10-09T00:00:00"/>
    <n v="10"/>
    <n v="901"/>
    <n v="9010"/>
    <n v="901"/>
  </r>
  <r>
    <s v="Ngozi"/>
    <s v="Toilet Paper"/>
    <s v="South"/>
    <s v="March"/>
    <d v="2024-03-05T00:00:00"/>
    <n v="3"/>
    <d v="2025-10-09T00:00:00"/>
    <n v="10"/>
    <n v="764"/>
    <n v="7640"/>
    <n v="764"/>
  </r>
  <r>
    <s v="Emeka"/>
    <s v="Cereal"/>
    <s v="North"/>
    <s v="May"/>
    <d v="2024-05-07T00:00:00"/>
    <n v="3"/>
    <d v="2025-10-09T00:00:00"/>
    <n v="9"/>
    <n v="1458"/>
    <n v="13122"/>
    <n v="1458"/>
  </r>
  <r>
    <s v="John"/>
    <s v="Soap"/>
    <s v="East"/>
    <s v="February"/>
    <d v="2024-02-27T00:00:00"/>
    <n v="3"/>
    <d v="2025-10-09T00:00:00"/>
    <n v="8"/>
    <n v="847"/>
    <n v="6776"/>
    <n v="847"/>
  </r>
  <r>
    <s v="Emeka"/>
    <s v="Detergent"/>
    <s v="North"/>
    <s v="May"/>
    <d v="2024-05-12T00:00:00"/>
    <n v="1"/>
    <d v="2025-10-09T00:00:00"/>
    <n v="9"/>
    <n v="671"/>
    <n v="6039"/>
    <n v="671"/>
  </r>
  <r>
    <s v="Blessing"/>
    <s v="Garri"/>
    <s v="North"/>
    <s v="April"/>
    <d v="2024-04-18T00:00:00"/>
    <n v="5"/>
    <d v="2025-10-09T00:00:00"/>
    <n v="10"/>
    <n v="762"/>
    <n v="7620"/>
    <n v="762"/>
  </r>
  <r>
    <s v="David"/>
    <s v="Garri"/>
    <s v="South"/>
    <s v="February"/>
    <d v="2024-02-25T00:00:00"/>
    <n v="1"/>
    <d v="2025-10-09T00:00:00"/>
    <n v="10"/>
    <n v="651"/>
    <n v="6510"/>
    <n v="651"/>
  </r>
  <r>
    <s v="Tolu"/>
    <s v="Yam Flour"/>
    <s v="West"/>
    <s v="March"/>
    <d v="2024-03-25T00:00:00"/>
    <n v="2"/>
    <d v="2025-10-09T00:00:00"/>
    <n v="9"/>
    <n v="308"/>
    <n v="2772"/>
    <n v="308"/>
  </r>
  <r>
    <s v="Uche"/>
    <s v="Spaghetti"/>
    <s v="West"/>
    <s v="February"/>
    <d v="2024-02-19T00:00:00"/>
    <n v="2"/>
    <d v="2025-10-09T00:00:00"/>
    <n v="8"/>
    <n v="1192"/>
    <n v="9536"/>
    <n v="1192"/>
  </r>
  <r>
    <s v="Emeka"/>
    <s v="Garri"/>
    <s v="West"/>
    <s v="June"/>
    <d v="2024-06-15T00:00:00"/>
    <n v="7"/>
    <d v="2025-10-09T00:00:00"/>
    <n v="3"/>
    <n v="337"/>
    <n v="1011"/>
    <n v="337"/>
  </r>
  <r>
    <s v="David"/>
    <s v="Cereal"/>
    <s v="South"/>
    <s v="May"/>
    <d v="2024-05-24T00:00:00"/>
    <n v="6"/>
    <d v="2025-10-09T00:00:00"/>
    <n v="8"/>
    <n v="445"/>
    <n v="3560"/>
    <n v="445"/>
  </r>
  <r>
    <s v="Aisha"/>
    <s v="Yam Flour"/>
    <s v="North"/>
    <s v="April"/>
    <d v="2024-04-01T00:00:00"/>
    <n v="2"/>
    <d v="2025-10-09T00:00:00"/>
    <n v="6"/>
    <n v="954"/>
    <n v="5724"/>
    <n v="954"/>
  </r>
  <r>
    <s v="John"/>
    <s v="Soap"/>
    <s v="South"/>
    <s v="January"/>
    <d v="2024-01-24T00:00:00"/>
    <n v="4"/>
    <d v="2025-10-09T00:00:00"/>
    <n v="5"/>
    <n v="334"/>
    <n v="1670"/>
    <n v="334"/>
  </r>
  <r>
    <s v="Uche"/>
    <s v="Sardine"/>
    <s v="West"/>
    <s v="February"/>
    <d v="2024-02-14T00:00:00"/>
    <n v="4"/>
    <d v="2025-10-09T00:00:00"/>
    <n v="6"/>
    <n v="409"/>
    <n v="2454"/>
    <n v="409"/>
  </r>
  <r>
    <s v="Ngozi"/>
    <s v="Milk"/>
    <s v="East"/>
    <s v="January"/>
    <d v="2024-01-01T00:00:00"/>
    <n v="2"/>
    <d v="2025-10-09T00:00:00"/>
    <n v="9"/>
    <n v="1394"/>
    <n v="12546"/>
    <n v="1394"/>
  </r>
  <r>
    <s v="Ngozi"/>
    <s v="Soap"/>
    <s v="West"/>
    <s v="June"/>
    <d v="2024-06-12T00:00:00"/>
    <n v="4"/>
    <d v="2025-10-09T00:00:00"/>
    <n v="7"/>
    <n v="453"/>
    <n v="3171"/>
    <n v="453"/>
  </r>
  <r>
    <s v="Emeka"/>
    <s v="Garri"/>
    <s v="South"/>
    <s v="January"/>
    <d v="2024-01-28T00:00:00"/>
    <n v="1"/>
    <d v="2025-10-09T00:00:00"/>
    <n v="2"/>
    <n v="431"/>
    <n v="862"/>
    <n v="431"/>
  </r>
  <r>
    <s v="John"/>
    <s v="Spaghetti"/>
    <s v="North"/>
    <s v="March"/>
    <d v="2024-03-03T00:00:00"/>
    <n v="1"/>
    <d v="2025-10-09T00:00:00"/>
    <n v="7"/>
    <n v="1185"/>
    <n v="8295"/>
    <n v="1185"/>
  </r>
  <r>
    <s v="Ngozi"/>
    <s v="Toilet Paper"/>
    <s v="West"/>
    <s v="February"/>
    <d v="2024-02-24T00:00:00"/>
    <n v="7"/>
    <d v="2025-10-09T00:00:00"/>
    <n v="8"/>
    <n v="410"/>
    <n v="3280"/>
    <n v="410"/>
  </r>
  <r>
    <s v="Bola"/>
    <s v="Detergent"/>
    <s v="East"/>
    <s v="June"/>
    <d v="2024-06-07T00:00:00"/>
    <n v="6"/>
    <d v="2025-10-09T00:00:00"/>
    <n v="9"/>
    <n v="346"/>
    <n v="3114"/>
    <n v="346"/>
  </r>
  <r>
    <s v="David"/>
    <s v="Toilet Paper"/>
    <s v="West"/>
    <s v="May"/>
    <d v="2024-05-24T00:00:00"/>
    <n v="6"/>
    <d v="2025-10-09T00:00:00"/>
    <n v="6"/>
    <n v="644"/>
    <n v="3864"/>
    <n v="644"/>
  </r>
  <r>
    <s v="Ngozi"/>
    <s v="Yam Flour"/>
    <s v="North"/>
    <s v="February"/>
    <d v="2024-02-16T00:00:00"/>
    <n v="6"/>
    <d v="2025-10-09T00:00:00"/>
    <n v="10"/>
    <n v="574"/>
    <n v="5740"/>
    <n v="574"/>
  </r>
  <r>
    <s v="Uche"/>
    <s v="Cooking Oil"/>
    <s v="North"/>
    <s v="January"/>
    <d v="2024-01-07T00:00:00"/>
    <n v="1"/>
    <d v="2025-10-09T00:00:00"/>
    <n v="4"/>
    <n v="761"/>
    <n v="3044"/>
    <n v="761"/>
  </r>
  <r>
    <s v="Bola"/>
    <s v="Toilet Paper"/>
    <s v="East"/>
    <s v="March"/>
    <d v="2024-03-02T00:00:00"/>
    <n v="7"/>
    <d v="2025-10-09T00:00:00"/>
    <n v="9"/>
    <n v="548"/>
    <n v="4932"/>
    <n v="548"/>
  </r>
  <r>
    <s v="Aisha"/>
    <s v="Garri"/>
    <s v="East"/>
    <s v="March"/>
    <d v="2024-03-09T00:00:00"/>
    <n v="7"/>
    <d v="2025-10-09T00:00:00"/>
    <n v="4"/>
    <n v="535"/>
    <n v="2140"/>
    <n v="535"/>
  </r>
  <r>
    <s v="Bola"/>
    <s v="Yam Flour"/>
    <s v="South"/>
    <s v="June"/>
    <d v="2024-06-29T00:00:00"/>
    <n v="7"/>
    <d v="2025-10-09T00:00:00"/>
    <n v="9"/>
    <n v="1088"/>
    <n v="9792"/>
    <n v="1088"/>
  </r>
  <r>
    <s v="Emeka"/>
    <s v="Detergent"/>
    <s v="South"/>
    <s v="April"/>
    <d v="2024-04-25T00:00:00"/>
    <n v="5"/>
    <d v="2025-10-09T00:00:00"/>
    <n v="3"/>
    <n v="504"/>
    <n v="1512"/>
    <n v="504"/>
  </r>
  <r>
    <s v="David"/>
    <s v="Toilet Paper"/>
    <s v="North"/>
    <s v="April"/>
    <d v="2024-04-05T00:00:00"/>
    <n v="6"/>
    <d v="2025-10-09T00:00:00"/>
    <n v="8"/>
    <n v="1217"/>
    <n v="9736"/>
    <n v="1217"/>
  </r>
  <r>
    <s v="Blessing"/>
    <s v="Sardine"/>
    <s v="North"/>
    <s v="April"/>
    <d v="2024-04-10T00:00:00"/>
    <n v="4"/>
    <d v="2025-10-09T00:00:00"/>
    <n v="10"/>
    <n v="803"/>
    <n v="8030"/>
    <n v="803"/>
  </r>
  <r>
    <s v="Ngozi"/>
    <s v="Sardine"/>
    <s v="North"/>
    <s v="February"/>
    <d v="2024-02-07T00:00:00"/>
    <n v="4"/>
    <d v="2025-10-09T00:00:00"/>
    <n v="3"/>
    <n v="775"/>
    <n v="2325"/>
    <n v="775"/>
  </r>
  <r>
    <s v="Amaka"/>
    <s v="Cereal"/>
    <s v="East"/>
    <s v="March"/>
    <d v="2024-03-05T00:00:00"/>
    <n v="3"/>
    <d v="2025-10-09T00:00:00"/>
    <n v="2"/>
    <n v="799"/>
    <n v="1598"/>
    <n v="799"/>
  </r>
  <r>
    <s v="David"/>
    <s v="Milk"/>
    <s v="East"/>
    <s v="April"/>
    <d v="2024-04-02T00:00:00"/>
    <n v="3"/>
    <d v="2025-10-09T00:00:00"/>
    <n v="7"/>
    <n v="1269"/>
    <n v="8883"/>
    <n v="1269"/>
  </r>
  <r>
    <s v="Uche"/>
    <s v="Cooking Oil"/>
    <s v="West"/>
    <s v="February"/>
    <d v="2024-02-26T00:00:00"/>
    <n v="2"/>
    <d v="2025-10-09T00:00:00"/>
    <n v="7"/>
    <n v="1153"/>
    <n v="8071"/>
    <n v="1153"/>
  </r>
  <r>
    <s v="Bola"/>
    <s v="Sardine"/>
    <s v="North"/>
    <s v="May"/>
    <d v="2024-05-28T00:00:00"/>
    <n v="3"/>
    <d v="2025-10-09T00:00:00"/>
    <n v="5"/>
    <n v="991"/>
    <n v="4955"/>
    <n v="991"/>
  </r>
  <r>
    <s v="John"/>
    <s v="Sardine"/>
    <s v="North"/>
    <s v="April"/>
    <d v="2024-04-07T00:00:00"/>
    <n v="1"/>
    <d v="2025-10-09T00:00:00"/>
    <n v="6"/>
    <n v="1278"/>
    <n v="7668"/>
    <n v="1278"/>
  </r>
  <r>
    <s v="Uche"/>
    <s v="Milk"/>
    <s v="South"/>
    <s v="March"/>
    <d v="2024-03-13T00:00:00"/>
    <n v="4"/>
    <d v="2025-10-09T00:00:00"/>
    <n v="6"/>
    <n v="1192"/>
    <n v="7152"/>
    <n v="1192"/>
  </r>
  <r>
    <s v="Tolu"/>
    <s v="Garri"/>
    <s v="West"/>
    <s v="February"/>
    <d v="2024-02-04T00:00:00"/>
    <n v="1"/>
    <d v="2025-10-09T00:00:00"/>
    <n v="3"/>
    <n v="1318"/>
    <n v="3954"/>
    <n v="1318"/>
  </r>
  <r>
    <s v="Emeka"/>
    <s v="Toilet Paper"/>
    <s v="East"/>
    <s v="January"/>
    <d v="2024-01-18T00:00:00"/>
    <n v="5"/>
    <d v="2025-10-09T00:00:00"/>
    <n v="10"/>
    <n v="931"/>
    <n v="9310"/>
    <n v="931"/>
  </r>
  <r>
    <s v="Tolu"/>
    <s v="Cooking Oil"/>
    <s v="West"/>
    <s v="January"/>
    <d v="2024-01-23T00:00:00"/>
    <n v="3"/>
    <d v="2025-10-09T00:00:00"/>
    <n v="10"/>
    <n v="711"/>
    <n v="7110"/>
    <n v="711"/>
  </r>
  <r>
    <s v="John"/>
    <s v="Cereal"/>
    <s v="South"/>
    <s v="January"/>
    <d v="2024-01-03T00:00:00"/>
    <n v="4"/>
    <d v="2025-10-09T00:00:00"/>
    <n v="6"/>
    <n v="1154"/>
    <n v="6924"/>
    <n v="1154"/>
  </r>
  <r>
    <s v="Aisha"/>
    <s v="Garri"/>
    <s v="South"/>
    <s v="June"/>
    <d v="2024-06-13T00:00:00"/>
    <n v="5"/>
    <d v="2025-10-09T00:00:00"/>
    <n v="2"/>
    <n v="1357"/>
    <n v="2714"/>
    <n v="1357"/>
  </r>
  <r>
    <s v="Tolu"/>
    <s v="Detergent"/>
    <s v="South"/>
    <s v="April"/>
    <d v="2024-04-25T00:00:00"/>
    <n v="5"/>
    <d v="2025-10-09T00:00:00"/>
    <n v="3"/>
    <n v="1100"/>
    <n v="3300"/>
    <n v="1100"/>
  </r>
  <r>
    <s v="David"/>
    <s v="Milk"/>
    <s v="East"/>
    <s v="May"/>
    <d v="2024-05-12T00:00:00"/>
    <n v="1"/>
    <d v="2025-10-09T00:00:00"/>
    <n v="9"/>
    <n v="833"/>
    <n v="7497"/>
    <n v="833"/>
  </r>
  <r>
    <s v="Blessing"/>
    <s v="Detergent"/>
    <s v="East"/>
    <s v="June"/>
    <d v="2024-06-06T00:00:00"/>
    <n v="5"/>
    <d v="2025-10-09T00:00:00"/>
    <n v="1"/>
    <n v="1118"/>
    <n v="1118"/>
    <n v="1118"/>
  </r>
  <r>
    <s v="Uche"/>
    <s v="Spaghetti"/>
    <s v="South"/>
    <s v="June"/>
    <d v="2024-06-13T00:00:00"/>
    <n v="5"/>
    <d v="2025-10-09T00:00:00"/>
    <n v="9"/>
    <n v="1195"/>
    <n v="10755"/>
    <n v="1195"/>
  </r>
  <r>
    <s v="Blessing"/>
    <s v="Cereal"/>
    <s v="East"/>
    <s v="March"/>
    <d v="2024-03-12T00:00:00"/>
    <n v="3"/>
    <d v="2025-10-09T00:00:00"/>
    <n v="8"/>
    <n v="523"/>
    <n v="4184"/>
    <n v="523"/>
  </r>
  <r>
    <s v="Amaka"/>
    <s v="Toilet Paper"/>
    <s v="East"/>
    <s v="January"/>
    <d v="2024-01-21T00:00:00"/>
    <n v="1"/>
    <d v="2025-10-09T00:00:00"/>
    <n v="10"/>
    <n v="1267"/>
    <n v="12670"/>
    <n v="1267"/>
  </r>
  <r>
    <s v="Blessing"/>
    <s v="Cooking Oil"/>
    <s v="East"/>
    <s v="June"/>
    <d v="2024-06-01T00:00:00"/>
    <n v="7"/>
    <d v="2025-10-09T00:00:00"/>
    <n v="9"/>
    <n v="1278"/>
    <n v="11502"/>
    <n v="1278"/>
  </r>
  <r>
    <s v="Ngozi"/>
    <s v="Toilet Paper"/>
    <s v="North"/>
    <s v="May"/>
    <d v="2024-05-25T00:00:00"/>
    <n v="7"/>
    <d v="2025-10-09T00:00:00"/>
    <n v="7"/>
    <n v="1297"/>
    <n v="9079"/>
    <n v="1297"/>
  </r>
  <r>
    <s v="John"/>
    <s v="Detergent"/>
    <s v="South"/>
    <s v="February"/>
    <d v="2024-02-11T00:00:00"/>
    <n v="1"/>
    <d v="2025-10-09T00:00:00"/>
    <n v="9"/>
    <n v="1433"/>
    <n v="12897"/>
    <n v="1433"/>
  </r>
  <r>
    <s v="Aisha"/>
    <s v="Soap"/>
    <s v="East"/>
    <s v="April"/>
    <d v="2024-04-06T00:00:00"/>
    <n v="7"/>
    <d v="2025-10-09T00:00:00"/>
    <n v="6"/>
    <n v="361"/>
    <n v="2166"/>
    <n v="361"/>
  </r>
  <r>
    <s v="David"/>
    <s v="Detergent"/>
    <s v="South"/>
    <s v="June"/>
    <d v="2024-06-07T00:00:00"/>
    <n v="6"/>
    <d v="2025-10-09T00:00:00"/>
    <n v="4"/>
    <n v="1248"/>
    <n v="4992"/>
    <n v="1248"/>
  </r>
  <r>
    <s v="Bola"/>
    <s v="Cereal"/>
    <s v="North"/>
    <s v="June"/>
    <d v="2024-06-12T00:00:00"/>
    <n v="4"/>
    <d v="2025-10-09T00:00:00"/>
    <n v="5"/>
    <n v="1243"/>
    <n v="6215"/>
    <n v="1243"/>
  </r>
  <r>
    <s v="Ngozi"/>
    <s v="Spaghetti"/>
    <s v="South"/>
    <s v="June"/>
    <d v="2024-06-18T00:00:00"/>
    <n v="3"/>
    <d v="2025-10-09T00:00:00"/>
    <n v="5"/>
    <n v="1152"/>
    <n v="5760"/>
    <n v="1152"/>
  </r>
  <r>
    <s v="Uche"/>
    <s v="Sardine"/>
    <s v="North"/>
    <s v="January"/>
    <d v="2024-01-06T00:00:00"/>
    <n v="7"/>
    <d v="2025-10-09T00:00:00"/>
    <n v="4"/>
    <n v="1291"/>
    <n v="5164"/>
    <n v="1291"/>
  </r>
  <r>
    <s v="John"/>
    <s v="Sardine"/>
    <s v="South"/>
    <s v="May"/>
    <d v="2024-05-21T00:00:00"/>
    <n v="3"/>
    <d v="2025-10-09T00:00:00"/>
    <n v="6"/>
    <n v="791"/>
    <n v="4746"/>
    <n v="791"/>
  </r>
  <r>
    <s v="Uche"/>
    <s v="Toilet Paper"/>
    <s v="West"/>
    <s v="January"/>
    <d v="2024-01-30T00:00:00"/>
    <n v="3"/>
    <d v="2025-10-09T00:00:00"/>
    <n v="10"/>
    <n v="1240"/>
    <n v="12400"/>
    <n v="1240"/>
  </r>
  <r>
    <s v="John"/>
    <s v="Garri"/>
    <s v="South"/>
    <s v="February"/>
    <d v="2024-02-18T00:00:00"/>
    <n v="1"/>
    <d v="2025-10-09T00:00:00"/>
    <n v="7"/>
    <n v="466"/>
    <n v="3262"/>
    <n v="466"/>
  </r>
  <r>
    <s v="Emeka"/>
    <s v="Cooking Oil"/>
    <s v="East"/>
    <s v="April"/>
    <d v="2024-04-22T00:00:00"/>
    <n v="2"/>
    <d v="2025-10-09T00:00:00"/>
    <n v="5"/>
    <n v="714"/>
    <n v="3570"/>
    <n v="714"/>
  </r>
  <r>
    <s v="Bola"/>
    <s v="Detergent"/>
    <s v="West"/>
    <s v="April"/>
    <d v="2024-04-16T00:00:00"/>
    <n v="3"/>
    <d v="2025-10-09T00:00:00"/>
    <n v="10"/>
    <n v="1110"/>
    <n v="11100"/>
    <n v="1110"/>
  </r>
  <r>
    <s v="Emeka"/>
    <s v="Soap"/>
    <s v="East"/>
    <s v="February"/>
    <d v="2024-02-13T00:00:00"/>
    <n v="3"/>
    <d v="2025-10-09T00:00:00"/>
    <n v="2"/>
    <n v="1050"/>
    <n v="2100"/>
    <n v="1050"/>
  </r>
  <r>
    <s v="Aisha"/>
    <s v="Milk"/>
    <s v="South"/>
    <s v="June"/>
    <d v="2024-06-06T00:00:00"/>
    <n v="5"/>
    <d v="2025-10-09T00:00:00"/>
    <n v="5"/>
    <n v="336"/>
    <n v="1680"/>
    <n v="336"/>
  </r>
  <r>
    <s v="David"/>
    <s v="Toilet Paper"/>
    <s v="East"/>
    <s v="April"/>
    <d v="2024-04-13T00:00:00"/>
    <n v="7"/>
    <d v="2025-10-09T00:00:00"/>
    <n v="4"/>
    <n v="1332"/>
    <n v="5328"/>
    <n v="1332"/>
  </r>
  <r>
    <s v="David"/>
    <s v="Spaghetti"/>
    <s v="South"/>
    <s v="June"/>
    <d v="2024-06-19T00:00:00"/>
    <n v="4"/>
    <d v="2025-10-09T00:00:00"/>
    <n v="3"/>
    <n v="1104"/>
    <n v="3312"/>
    <n v="1104"/>
  </r>
  <r>
    <s v="Amaka"/>
    <s v="Toilet Paper"/>
    <s v="South"/>
    <s v="February"/>
    <d v="2024-02-05T00:00:00"/>
    <n v="2"/>
    <d v="2025-10-09T00:00:00"/>
    <n v="4"/>
    <n v="1386"/>
    <n v="5544"/>
    <n v="1386"/>
  </r>
  <r>
    <s v="Amaka"/>
    <s v="Toilet Paper"/>
    <s v="West"/>
    <s v="April"/>
    <d v="2024-04-05T00:00:00"/>
    <n v="6"/>
    <d v="2025-10-09T00:00:00"/>
    <n v="1"/>
    <n v="1450"/>
    <n v="1450"/>
    <n v="1450"/>
  </r>
  <r>
    <s v="Tolu"/>
    <s v="Spaghetti"/>
    <s v="North"/>
    <s v="March"/>
    <d v="2024-03-17T00:00:00"/>
    <n v="1"/>
    <d v="2025-10-09T00:00:00"/>
    <n v="9"/>
    <n v="1468"/>
    <n v="13212"/>
    <n v="1468"/>
  </r>
  <r>
    <s v="Tolu"/>
    <s v="Detergent"/>
    <s v="West"/>
    <s v="March"/>
    <d v="2024-03-18T00:00:00"/>
    <n v="2"/>
    <d v="2025-10-09T00:00:00"/>
    <n v="2"/>
    <n v="651"/>
    <n v="1302"/>
    <n v="651"/>
  </r>
  <r>
    <s v="Amaka"/>
    <s v="Milk"/>
    <s v="East"/>
    <s v="January"/>
    <d v="2024-01-17T00:00:00"/>
    <n v="4"/>
    <d v="2025-10-09T00:00:00"/>
    <n v="7"/>
    <n v="1044"/>
    <n v="7308"/>
    <n v="1044"/>
  </r>
  <r>
    <s v="Bola"/>
    <s v="Yam Flour"/>
    <s v="South"/>
    <s v="February"/>
    <d v="2024-02-17T00:00:00"/>
    <n v="7"/>
    <d v="2025-10-09T00:00:00"/>
    <n v="6"/>
    <n v="1045"/>
    <n v="6270"/>
    <n v="1045"/>
  </r>
  <r>
    <s v="John"/>
    <s v="Yam Flour"/>
    <s v="West"/>
    <s v="March"/>
    <d v="2024-03-07T00:00:00"/>
    <n v="5"/>
    <d v="2025-10-09T00:00:00"/>
    <n v="3"/>
    <n v="732"/>
    <n v="2196"/>
    <n v="732"/>
  </r>
  <r>
    <s v="Tolu"/>
    <s v="Garri"/>
    <s v="East"/>
    <s v="April"/>
    <d v="2024-04-09T00:00:00"/>
    <n v="3"/>
    <d v="2025-10-09T00:00:00"/>
    <n v="2"/>
    <n v="1310"/>
    <n v="2620"/>
    <n v="1310"/>
  </r>
  <r>
    <s v="Emeka"/>
    <s v="Sardine"/>
    <s v="West"/>
    <s v="April"/>
    <d v="2024-04-13T00:00:00"/>
    <n v="7"/>
    <d v="2025-10-09T00:00:00"/>
    <n v="10"/>
    <n v="858"/>
    <n v="8580"/>
    <n v="858"/>
  </r>
  <r>
    <s v="Ngozi"/>
    <s v="Toilet Paper"/>
    <s v="East"/>
    <s v="March"/>
    <d v="2024-03-20T00:00:00"/>
    <n v="4"/>
    <d v="2025-10-09T00:00:00"/>
    <n v="1"/>
    <n v="420"/>
    <n v="420"/>
    <n v="420"/>
  </r>
  <r>
    <s v="Emeka"/>
    <s v="Yam Flour"/>
    <s v="West"/>
    <s v="February"/>
    <d v="2024-02-16T00:00:00"/>
    <n v="6"/>
    <d v="2025-10-09T00:00:00"/>
    <n v="5"/>
    <n v="1328"/>
    <n v="6640"/>
    <n v="1328"/>
  </r>
  <r>
    <s v="Blessing"/>
    <s v="Yam Flour"/>
    <s v="West"/>
    <s v="April"/>
    <d v="2024-04-01T00:00:00"/>
    <n v="2"/>
    <d v="2025-10-09T00:00:00"/>
    <n v="2"/>
    <n v="1249"/>
    <n v="2498"/>
    <n v="1249"/>
  </r>
  <r>
    <s v="Amaka"/>
    <s v="Detergent"/>
    <s v="West"/>
    <s v="January"/>
    <d v="2024-01-27T00:00:00"/>
    <n v="7"/>
    <d v="2025-10-09T00:00:00"/>
    <n v="2"/>
    <n v="1301"/>
    <n v="2602"/>
    <n v="1301"/>
  </r>
  <r>
    <s v="Bola"/>
    <s v="Soap"/>
    <s v="East"/>
    <s v="February"/>
    <d v="2024-02-02T00:00:00"/>
    <n v="6"/>
    <d v="2025-10-09T00:00:00"/>
    <n v="1"/>
    <n v="1341"/>
    <n v="1341"/>
    <n v="1341"/>
  </r>
  <r>
    <s v="Emeka"/>
    <s v="Milk"/>
    <s v="North"/>
    <s v="April"/>
    <d v="2024-04-25T00:00:00"/>
    <n v="5"/>
    <d v="2025-10-09T00:00:00"/>
    <n v="5"/>
    <n v="805"/>
    <n v="4025"/>
    <n v="805"/>
  </r>
  <r>
    <s v="David"/>
    <s v="Detergent"/>
    <s v="East"/>
    <s v="April"/>
    <d v="2024-04-14T00:00:00"/>
    <n v="1"/>
    <d v="2025-10-09T00:00:00"/>
    <n v="10"/>
    <n v="1373"/>
    <n v="13730"/>
    <n v="1373"/>
  </r>
  <r>
    <s v="Ngozi"/>
    <s v="Garri"/>
    <s v="North"/>
    <s v="March"/>
    <d v="2024-03-30T00:00:00"/>
    <n v="7"/>
    <d v="2025-10-09T00:00:00"/>
    <n v="1"/>
    <n v="409"/>
    <n v="409"/>
    <n v="409"/>
  </r>
  <r>
    <s v="Emeka"/>
    <s v="Toilet Paper"/>
    <s v="East"/>
    <s v="March"/>
    <d v="2024-03-22T00:00:00"/>
    <n v="6"/>
    <d v="2025-10-09T00:00:00"/>
    <n v="5"/>
    <n v="548"/>
    <n v="2740"/>
    <n v="548"/>
  </r>
  <r>
    <s v="Uche"/>
    <s v="Soap"/>
    <s v="West"/>
    <s v="March"/>
    <d v="2024-03-06T00:00:00"/>
    <n v="4"/>
    <d v="2025-10-09T00:00:00"/>
    <n v="8"/>
    <n v="836"/>
    <n v="6688"/>
    <n v="836"/>
  </r>
  <r>
    <s v="Blessing"/>
    <s v="Milk"/>
    <s v="East"/>
    <s v="February"/>
    <d v="2024-02-10T00:00:00"/>
    <n v="7"/>
    <d v="2025-10-09T00:00:00"/>
    <n v="1"/>
    <n v="414"/>
    <n v="414"/>
    <n v="414"/>
  </r>
  <r>
    <s v="Amaka"/>
    <s v="Cereal"/>
    <s v="North"/>
    <s v="January"/>
    <d v="2024-01-16T00:00:00"/>
    <n v="3"/>
    <d v="2025-10-09T00:00:00"/>
    <n v="10"/>
    <n v="637"/>
    <n v="6370"/>
    <n v="637"/>
  </r>
  <r>
    <s v="Emeka"/>
    <s v="Cooking Oil"/>
    <s v="West"/>
    <s v="May"/>
    <d v="2024-05-23T00:00:00"/>
    <n v="5"/>
    <d v="2025-10-09T00:00:00"/>
    <n v="7"/>
    <n v="732"/>
    <n v="5124"/>
    <n v="732"/>
  </r>
  <r>
    <s v="David"/>
    <s v="Cooking Oil"/>
    <s v="West"/>
    <s v="January"/>
    <d v="2024-01-28T00:00:00"/>
    <n v="1"/>
    <d v="2025-10-09T00:00:00"/>
    <n v="6"/>
    <n v="1217"/>
    <n v="7302"/>
    <n v="1217"/>
  </r>
  <r>
    <s v="John"/>
    <s v="Soap"/>
    <s v="South"/>
    <s v="February"/>
    <d v="2024-02-12T00:00:00"/>
    <n v="2"/>
    <d v="2025-10-09T00:00:00"/>
    <n v="7"/>
    <n v="318"/>
    <n v="2226"/>
    <n v="318"/>
  </r>
  <r>
    <s v="Uche"/>
    <s v="Sardine"/>
    <s v="West"/>
    <s v="June"/>
    <d v="2024-06-05T00:00:00"/>
    <n v="4"/>
    <d v="2025-10-09T00:00:00"/>
    <n v="1"/>
    <n v="859"/>
    <n v="859"/>
    <n v="859"/>
  </r>
  <r>
    <s v="Tolu"/>
    <s v="Garri"/>
    <s v="West"/>
    <s v="January"/>
    <d v="2024-01-20T00:00:00"/>
    <n v="7"/>
    <d v="2025-10-09T00:00:00"/>
    <n v="5"/>
    <n v="1341"/>
    <n v="6705"/>
    <n v="1341"/>
  </r>
  <r>
    <s v="Aisha"/>
    <s v="Milk"/>
    <s v="South"/>
    <s v="May"/>
    <d v="2024-05-20T00:00:00"/>
    <n v="2"/>
    <d v="2025-10-09T00:00:00"/>
    <n v="2"/>
    <n v="784"/>
    <n v="1568"/>
    <n v="784"/>
  </r>
  <r>
    <s v="John"/>
    <s v="Cereal"/>
    <s v="North"/>
    <s v="May"/>
    <d v="2024-05-30T00:00:00"/>
    <n v="5"/>
    <d v="2025-10-09T00:00:00"/>
    <n v="4"/>
    <n v="1302"/>
    <n v="5208"/>
    <n v="1302"/>
  </r>
  <r>
    <s v="Uche"/>
    <s v="Yam Flour"/>
    <s v="South"/>
    <s v="April"/>
    <d v="2024-04-15T00:00:00"/>
    <n v="2"/>
    <d v="2025-10-09T00:00:00"/>
    <n v="10"/>
    <n v="825"/>
    <n v="8250"/>
    <n v="825"/>
  </r>
  <r>
    <s v="Aisha"/>
    <s v="Soap"/>
    <s v="East"/>
    <s v="April"/>
    <d v="2024-04-08T00:00:00"/>
    <n v="2"/>
    <d v="2025-10-09T00:00:00"/>
    <n v="4"/>
    <n v="615"/>
    <n v="2460"/>
    <n v="615"/>
  </r>
  <r>
    <s v="Aisha"/>
    <s v="Milk"/>
    <s v="North"/>
    <s v="March"/>
    <d v="2024-03-28T00:00:00"/>
    <n v="5"/>
    <d v="2025-10-09T00:00:00"/>
    <n v="8"/>
    <n v="981"/>
    <n v="7848"/>
    <n v="981"/>
  </r>
  <r>
    <s v="Blessing"/>
    <s v="Toilet Paper"/>
    <s v="North"/>
    <s v="June"/>
    <d v="2024-06-01T00:00:00"/>
    <n v="7"/>
    <d v="2025-10-09T00:00:00"/>
    <n v="6"/>
    <n v="1281"/>
    <n v="7686"/>
    <n v="1281"/>
  </r>
  <r>
    <s v="Blessing"/>
    <s v="Toilet Paper"/>
    <s v="East"/>
    <s v="June"/>
    <d v="2024-06-20T00:00:00"/>
    <n v="5"/>
    <d v="2025-10-09T00:00:00"/>
    <n v="3"/>
    <n v="1251"/>
    <n v="3753"/>
    <n v="1251"/>
  </r>
  <r>
    <s v="Tolu"/>
    <s v="Toilet Paper"/>
    <s v="South"/>
    <s v="January"/>
    <d v="2024-01-07T00:00:00"/>
    <n v="1"/>
    <d v="2025-10-09T00:00:00"/>
    <n v="3"/>
    <n v="1153"/>
    <n v="3459"/>
    <n v="1153"/>
  </r>
  <r>
    <s v="Ngozi"/>
    <s v="Toilet Paper"/>
    <s v="East"/>
    <s v="June"/>
    <d v="2024-06-16T00:00:00"/>
    <n v="1"/>
    <d v="2025-10-09T00:00:00"/>
    <n v="9"/>
    <n v="1394"/>
    <n v="12546"/>
    <n v="1394"/>
  </r>
  <r>
    <s v="Tolu"/>
    <s v="Soap"/>
    <s v="North"/>
    <s v="May"/>
    <d v="2024-05-29T00:00:00"/>
    <n v="4"/>
    <d v="2025-10-09T00:00:00"/>
    <n v="5"/>
    <n v="677"/>
    <n v="3385"/>
    <n v="677"/>
  </r>
  <r>
    <s v="Tolu"/>
    <s v="Detergent"/>
    <s v="West"/>
    <s v="February"/>
    <d v="2024-02-22T00:00:00"/>
    <n v="5"/>
    <d v="2025-10-09T00:00:00"/>
    <n v="7"/>
    <n v="598"/>
    <n v="4186"/>
    <n v="598"/>
  </r>
  <r>
    <s v="Aisha"/>
    <s v="Soap"/>
    <s v="North"/>
    <s v="February"/>
    <d v="2024-02-18T00:00:00"/>
    <n v="1"/>
    <d v="2025-10-09T00:00:00"/>
    <n v="6"/>
    <n v="1451"/>
    <n v="8706"/>
    <n v="1451"/>
  </r>
  <r>
    <s v="John"/>
    <s v="Sardine"/>
    <s v="North"/>
    <s v="May"/>
    <d v="2024-05-11T00:00:00"/>
    <n v="7"/>
    <d v="2025-10-09T00:00:00"/>
    <n v="9"/>
    <n v="1207"/>
    <n v="10863"/>
    <n v="1207"/>
  </r>
  <r>
    <s v="Blessing"/>
    <s v="Cereal"/>
    <s v="North"/>
    <s v="April"/>
    <d v="2024-04-09T00:00:00"/>
    <n v="3"/>
    <d v="2025-10-09T00:00:00"/>
    <n v="1"/>
    <n v="379"/>
    <n v="379"/>
    <n v="379"/>
  </r>
  <r>
    <s v="Blessing"/>
    <s v="Cooking Oil"/>
    <s v="West"/>
    <s v="January"/>
    <d v="2024-01-28T00:00:00"/>
    <n v="1"/>
    <d v="2025-10-09T00:00:00"/>
    <n v="2"/>
    <n v="1372"/>
    <n v="2744"/>
    <n v="1372"/>
  </r>
  <r>
    <s v="Tolu"/>
    <s v="Detergent"/>
    <s v="West"/>
    <s v="June"/>
    <d v="2024-06-28T00:00:00"/>
    <n v="6"/>
    <d v="2025-10-09T00:00:00"/>
    <n v="7"/>
    <n v="1367"/>
    <n v="9569"/>
    <n v="1367"/>
  </r>
  <r>
    <s v="Aisha"/>
    <s v="Garri"/>
    <s v="West"/>
    <s v="January"/>
    <d v="2024-01-25T00:00:00"/>
    <n v="5"/>
    <d v="2025-10-09T00:00:00"/>
    <n v="3"/>
    <n v="379"/>
    <n v="1137"/>
    <n v="379"/>
  </r>
  <r>
    <s v="Aisha"/>
    <s v="Soap"/>
    <s v="South"/>
    <s v="February"/>
    <d v="2024-02-24T00:00:00"/>
    <n v="7"/>
    <d v="2025-10-09T00:00:00"/>
    <n v="5"/>
    <n v="1341"/>
    <n v="6705"/>
    <n v="1341"/>
  </r>
  <r>
    <s v="Ngozi"/>
    <s v="Spaghetti"/>
    <s v="East"/>
    <s v="February"/>
    <d v="2024-02-08T00:00:00"/>
    <n v="5"/>
    <d v="2025-10-09T00:00:00"/>
    <n v="5"/>
    <n v="577"/>
    <n v="2885"/>
    <n v="577"/>
  </r>
  <r>
    <s v="Amaka"/>
    <s v="Cooking Oil"/>
    <s v="West"/>
    <s v="June"/>
    <d v="2024-06-20T00:00:00"/>
    <n v="5"/>
    <d v="2025-10-09T00:00:00"/>
    <n v="8"/>
    <n v="464"/>
    <n v="3712"/>
    <n v="464"/>
  </r>
  <r>
    <s v="David"/>
    <s v="Soap"/>
    <s v="North"/>
    <s v="March"/>
    <d v="2024-03-06T00:00:00"/>
    <n v="4"/>
    <d v="2025-10-09T00:00:00"/>
    <n v="5"/>
    <n v="1209"/>
    <n v="6045"/>
    <n v="1209"/>
  </r>
  <r>
    <s v="Amaka"/>
    <s v="Cereal"/>
    <s v="South"/>
    <s v="March"/>
    <d v="2024-03-22T00:00:00"/>
    <n v="6"/>
    <d v="2025-10-09T00:00:00"/>
    <n v="10"/>
    <n v="766"/>
    <n v="7660"/>
    <n v="766"/>
  </r>
  <r>
    <s v="Emeka"/>
    <s v="Cooking Oil"/>
    <s v="South"/>
    <s v="June"/>
    <d v="2024-06-22T00:00:00"/>
    <n v="7"/>
    <d v="2025-10-09T00:00:00"/>
    <n v="4"/>
    <n v="869"/>
    <n v="3476"/>
    <n v="869"/>
  </r>
  <r>
    <s v="Emeka"/>
    <s v="Milk"/>
    <s v="West"/>
    <s v="January"/>
    <d v="2024-01-09T00:00:00"/>
    <n v="3"/>
    <d v="2025-10-09T00:00:00"/>
    <n v="10"/>
    <n v="832"/>
    <n v="8320"/>
    <n v="832"/>
  </r>
  <r>
    <s v="John"/>
    <s v="Cereal"/>
    <s v="East"/>
    <s v="February"/>
    <d v="2024-02-25T00:00:00"/>
    <n v="1"/>
    <d v="2025-10-09T00:00:00"/>
    <n v="2"/>
    <n v="626"/>
    <n v="1252"/>
    <n v="626"/>
  </r>
  <r>
    <s v="Bola"/>
    <s v="Cooking Oil"/>
    <s v="South"/>
    <s v="January"/>
    <d v="2024-01-20T00:00:00"/>
    <n v="7"/>
    <d v="2025-10-09T00:00:00"/>
    <n v="2"/>
    <n v="1065"/>
    <n v="2130"/>
    <n v="1065"/>
  </r>
  <r>
    <s v="Tolu"/>
    <s v="Garri"/>
    <s v="North"/>
    <s v="June"/>
    <d v="2024-06-02T00:00:00"/>
    <n v="1"/>
    <d v="2025-10-09T00:00:00"/>
    <n v="1"/>
    <n v="909"/>
    <n v="909"/>
    <n v="909"/>
  </r>
  <r>
    <s v="Tolu"/>
    <s v="Cooking Oil"/>
    <s v="West"/>
    <s v="January"/>
    <d v="2024-01-23T00:00:00"/>
    <n v="3"/>
    <d v="2025-10-09T00:00:00"/>
    <n v="6"/>
    <n v="469"/>
    <n v="2814"/>
    <n v="469"/>
  </r>
  <r>
    <s v="Amaka"/>
    <s v="Sardine"/>
    <s v="North"/>
    <s v="March"/>
    <d v="2024-03-12T00:00:00"/>
    <n v="3"/>
    <d v="2025-10-09T00:00:00"/>
    <n v="7"/>
    <n v="1257"/>
    <n v="8799"/>
    <n v="1257"/>
  </r>
  <r>
    <s v="David"/>
    <s v="Soap"/>
    <s v="North"/>
    <s v="June"/>
    <d v="2024-06-15T00:00:00"/>
    <n v="7"/>
    <d v="2025-10-09T00:00:00"/>
    <n v="4"/>
    <n v="964"/>
    <n v="3856"/>
    <n v="964"/>
  </r>
  <r>
    <s v="Blessing"/>
    <s v="Yam Flour"/>
    <s v="North"/>
    <s v="March"/>
    <d v="2024-03-19T00:00:00"/>
    <n v="3"/>
    <d v="2025-10-09T00:00:00"/>
    <n v="4"/>
    <n v="364"/>
    <n v="1456"/>
    <n v="364"/>
  </r>
  <r>
    <s v="Tolu"/>
    <s v="Sardine"/>
    <s v="East"/>
    <s v="January"/>
    <d v="2024-01-30T00:00:00"/>
    <n v="3"/>
    <d v="2025-10-09T00:00:00"/>
    <n v="3"/>
    <n v="1017"/>
    <n v="3051"/>
    <n v="1017"/>
  </r>
  <r>
    <s v="Uche"/>
    <s v="Sardine"/>
    <s v="West"/>
    <s v="May"/>
    <d v="2024-05-14T00:00:00"/>
    <n v="3"/>
    <d v="2025-10-09T00:00:00"/>
    <n v="7"/>
    <n v="1141"/>
    <n v="7987"/>
    <n v="1141"/>
  </r>
  <r>
    <s v="John"/>
    <s v="Soap"/>
    <s v="West"/>
    <s v="May"/>
    <d v="2024-05-16T00:00:00"/>
    <n v="5"/>
    <d v="2025-10-09T00:00:00"/>
    <n v="7"/>
    <n v="621"/>
    <n v="4347"/>
    <n v="621"/>
  </r>
  <r>
    <s v="Emeka"/>
    <s v="Garri"/>
    <s v="East"/>
    <s v="May"/>
    <d v="2024-05-20T00:00:00"/>
    <n v="2"/>
    <d v="2025-10-09T00:00:00"/>
    <n v="1"/>
    <n v="1494"/>
    <n v="1494"/>
    <n v="1494"/>
  </r>
  <r>
    <s v="Emeka"/>
    <s v="Yam Flour"/>
    <s v="West"/>
    <s v="January"/>
    <d v="2024-01-08T00:00:00"/>
    <n v="2"/>
    <d v="2025-10-09T00:00:00"/>
    <n v="6"/>
    <n v="486"/>
    <n v="2916"/>
    <n v="486"/>
  </r>
  <r>
    <s v="Bola"/>
    <s v="Spaghetti"/>
    <s v="West"/>
    <s v="April"/>
    <d v="2024-04-07T00:00:00"/>
    <n v="1"/>
    <d v="2025-10-09T00:00:00"/>
    <n v="10"/>
    <n v="713"/>
    <n v="7130"/>
    <n v="713"/>
  </r>
  <r>
    <s v="Aisha"/>
    <s v="Cereal"/>
    <s v="West"/>
    <s v="February"/>
    <d v="2024-02-04T00:00:00"/>
    <n v="1"/>
    <d v="2025-10-09T00:00:00"/>
    <n v="2"/>
    <n v="1016"/>
    <n v="2032"/>
    <n v="1016"/>
  </r>
  <r>
    <s v="Amaka"/>
    <s v="Soap"/>
    <s v="North"/>
    <s v="February"/>
    <d v="2024-02-04T00:00:00"/>
    <n v="1"/>
    <d v="2025-10-09T00:00:00"/>
    <n v="5"/>
    <n v="567"/>
    <n v="2835"/>
    <n v="567"/>
  </r>
  <r>
    <s v="Bola"/>
    <s v="Toilet Paper"/>
    <s v="North"/>
    <s v="June"/>
    <d v="2024-06-27T00:00:00"/>
    <n v="5"/>
    <d v="2025-10-09T00:00:00"/>
    <n v="9"/>
    <n v="701"/>
    <n v="6309"/>
    <n v="701"/>
  </r>
  <r>
    <s v="Tolu"/>
    <s v="Detergent"/>
    <s v="West"/>
    <s v="April"/>
    <d v="2024-04-11T00:00:00"/>
    <n v="5"/>
    <d v="2025-10-09T00:00:00"/>
    <n v="2"/>
    <n v="1456"/>
    <n v="2912"/>
    <n v="1456"/>
  </r>
  <r>
    <s v="Blessing"/>
    <s v="Detergent"/>
    <s v="North"/>
    <s v="February"/>
    <d v="2024-02-02T00:00:00"/>
    <n v="6"/>
    <d v="2025-10-09T00:00:00"/>
    <n v="4"/>
    <n v="348"/>
    <n v="1392"/>
    <n v="348"/>
  </r>
  <r>
    <s v="Emeka"/>
    <s v="Milk"/>
    <s v="South"/>
    <s v="May"/>
    <d v="2024-05-16T00:00:00"/>
    <n v="5"/>
    <d v="2025-10-09T00:00:00"/>
    <n v="2"/>
    <n v="1456"/>
    <n v="2912"/>
    <n v="1456"/>
  </r>
  <r>
    <s v="David"/>
    <s v="Milk"/>
    <s v="North"/>
    <s v="February"/>
    <d v="2024-02-01T00:00:00"/>
    <n v="5"/>
    <d v="2025-10-09T00:00:00"/>
    <n v="2"/>
    <n v="460"/>
    <n v="920"/>
    <n v="460"/>
  </r>
  <r>
    <s v="Amaka"/>
    <s v="Sardine"/>
    <s v="North"/>
    <s v="January"/>
    <d v="2024-01-03T00:00:00"/>
    <n v="4"/>
    <d v="2025-10-09T00:00:00"/>
    <n v="3"/>
    <n v="325"/>
    <n v="975"/>
    <n v="325"/>
  </r>
  <r>
    <s v="John"/>
    <s v="Soap"/>
    <s v="South"/>
    <s v="March"/>
    <d v="2024-03-09T00:00:00"/>
    <n v="7"/>
    <d v="2025-10-09T00:00:00"/>
    <n v="8"/>
    <n v="1451"/>
    <n v="11608"/>
    <n v="1451"/>
  </r>
  <r>
    <s v="Tolu"/>
    <s v="Soap"/>
    <s v="North"/>
    <s v="February"/>
    <d v="2024-02-14T00:00:00"/>
    <n v="4"/>
    <d v="2025-10-09T00:00:00"/>
    <n v="2"/>
    <n v="350"/>
    <n v="700"/>
    <n v="350"/>
  </r>
  <r>
    <s v="David"/>
    <s v="Yam Flour"/>
    <s v="South"/>
    <s v="May"/>
    <d v="2024-05-29T00:00:00"/>
    <n v="4"/>
    <d v="2025-10-09T00:00:00"/>
    <n v="1"/>
    <n v="912"/>
    <n v="912"/>
    <n v="912"/>
  </r>
  <r>
    <s v="John"/>
    <s v="Toilet Paper"/>
    <s v="North"/>
    <s v="April"/>
    <d v="2024-04-30T00:00:00"/>
    <n v="3"/>
    <d v="2025-10-09T00:00:00"/>
    <n v="9"/>
    <n v="497"/>
    <n v="4473"/>
    <n v="497"/>
  </r>
  <r>
    <s v="Emeka"/>
    <s v="Toilet Paper"/>
    <s v="North"/>
    <s v="January"/>
    <d v="2024-01-05T00:00:00"/>
    <n v="6"/>
    <d v="2025-10-09T00:00:00"/>
    <n v="5"/>
    <n v="795"/>
    <n v="3975"/>
    <n v="795"/>
  </r>
  <r>
    <s v="Emeka"/>
    <s v="Garri"/>
    <s v="North"/>
    <s v="March"/>
    <d v="2024-03-01T00:00:00"/>
    <n v="6"/>
    <d v="2025-10-09T00:00:00"/>
    <n v="10"/>
    <n v="1279"/>
    <n v="12790"/>
    <n v="1279"/>
  </r>
  <r>
    <s v="David"/>
    <s v="Detergent"/>
    <s v="South"/>
    <s v="March"/>
    <d v="2024-03-27T00:00:00"/>
    <n v="4"/>
    <d v="2025-10-09T00:00:00"/>
    <n v="7"/>
    <n v="945"/>
    <n v="6615"/>
    <n v="9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compact="0" indent="0" outline="1" compactData="0" outlineData="1" showDrill="1" multipleFieldFilters="0">
  <location ref="A7:A8" firstHeaderRow="1" firstDataRow="1" firstDataCol="0"/>
  <pivotFields count="11">
    <pivotField compact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compact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7">
        <item x="1"/>
        <item x="2"/>
        <item x="4"/>
        <item x="3"/>
        <item x="5"/>
        <item x="0"/>
        <item t="default"/>
      </items>
    </pivotField>
    <pivotField compact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numFmtId="58" showAll="0">
      <items count="2">
        <item x="0"/>
        <item t="default"/>
      </items>
    </pivotField>
    <pivotField dataField="1" compact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compact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numFmtId="184" showAll="0"/>
  </pivotFields>
  <dataFields count="1">
    <dataField name="Sum of Quantity" fld="7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rowGrandTotals="0" colGrandTotals="0" compact="0" indent="0" compactData="0" showDrill="1" multipleFieldFilters="0" chartFormat="4">
  <location ref="G46:H50" firstHeaderRow="1" firstDataRow="1" firstDataCol="1"/>
  <pivotFields count="11">
    <pivotField compact="0" outline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dataField="1" compact="0" outline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/>
    <pivotField compact="0" outline="0" numFmtId="183" showAll="0"/>
    <pivotField compact="0" outline="0" numFmtId="1" showAll="0"/>
    <pivotField compact="0" outline="0" numFmtId="58" showAll="0"/>
    <pivotField compact="0" outline="0" showAll="0"/>
    <pivotField compact="0" outline="0" numFmtId="184" showAll="0"/>
    <pivotField compact="0" outline="0" numFmtId="184" showAll="0"/>
    <pivotField compact="0" outline="0" numFmtId="184"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Count of Product Category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compact="0" indent="0" outline="1" compactData="0" outlineData="1" showDrill="1" multipleFieldFilters="0">
  <location ref="C2:C3" firstHeaderRow="1" firstDataRow="1" firstDataCol="0"/>
  <pivotFields count="11">
    <pivotField compact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compact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7">
        <item x="1"/>
        <item x="2"/>
        <item x="4"/>
        <item x="3"/>
        <item x="5"/>
        <item x="0"/>
        <item t="default"/>
      </items>
    </pivotField>
    <pivotField compact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dataField="1" compact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numFmtId="184" showAll="0"/>
  </pivotFields>
  <dataFields count="1">
    <dataField name="Average of Total Sales" fld="9" subtotal="average" baseField="0" baseItem="0"/>
  </dataFields>
  <formats count="1">
    <format dxfId="1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5" cacheId="1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>
  <location ref="C6:C7" firstHeaderRow="1" firstDataRow="1" firstDataCol="0"/>
  <pivotFields count="11">
    <pivotField dataField="1" showAll="0"/>
    <pivotField showAll="0"/>
    <pivotField showAll="0"/>
    <pivotField showAll="0"/>
    <pivotField numFmtId="183" showAll="0"/>
    <pivotField numFmtId="1" showAll="0"/>
    <pivotField numFmtId="58" showAll="0"/>
    <pivotField showAll="0"/>
    <pivotField numFmtId="184" showAll="0"/>
    <pivotField numFmtId="184" showAll="0"/>
    <pivotField numFmtId="184" showAll="0"/>
  </pivotFields>
  <dataFields count="1">
    <dataField name="Count of Customer Name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 chartFormat="9">
  <location ref="A32:B37" firstHeaderRow="1" firstDataRow="1" firstDataCol="1"/>
  <pivotFields count="11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measureFilter="1" compact="0" sortType="descending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outline="0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numFmtId="58" showAll="0">
      <items count="2">
        <item x="0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numFmtId="18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compact="0" outline="0" numFmtId="18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compact="0" outline="0" numFmtId="18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</pivotFields>
  <rowFields count="1">
    <field x="1"/>
  </rowFields>
  <rowItems count="5">
    <i>
      <x/>
    </i>
    <i>
      <x v="2"/>
    </i>
    <i>
      <x v="3"/>
    </i>
    <i>
      <x v="8"/>
    </i>
    <i>
      <x v="6"/>
    </i>
  </rowItems>
  <colItems count="1">
    <i/>
  </colItems>
  <dataFields count="1">
    <dataField name="Sum of Total Sales" fld="9" baseField="0" baseItem="0"/>
  </dataFields>
  <formats count="6">
    <format dxfId="2">
      <pivotArea collapsedLevelsAreSubtotals="1" fieldPosition="0"/>
    </format>
    <format dxfId="3">
      <pivotArea type="all" dataOnly="0" outline="0" fieldPosition="0"/>
    </format>
    <format dxfId="4">
      <pivotArea outline="0" collapsedLevelsAreSubtotals="1" fieldPosition="0"/>
    </format>
    <format dxfId="5">
      <pivotArea field="1" type="button" dataOnly="0" labelOnly="1" outline="0" fieldPosition="0"/>
    </format>
    <format dxfId="6">
      <pivotArea dataOnly="0" labelOnly="1" outline="0" fieldPosition="0">
        <references count="1">
          <reference field="1" count="5">
            <x v="0"/>
            <x v="2"/>
            <x v="3"/>
            <x v="6"/>
            <x v="8"/>
          </reference>
        </references>
      </pivotArea>
    </format>
    <format dxfId="7">
      <pivotArea dataOnly="0" labelOnly="1" outline="0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compact="0" indent="0" outline="1" compactData="0" outlineData="1" showDrill="1" multipleFieldFilters="0">
  <location ref="A17:A18" firstHeaderRow="1" firstDataRow="1" firstDataCol="0"/>
  <pivotFields count="11">
    <pivotField compact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compact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7">
        <item x="1"/>
        <item x="2"/>
        <item x="4"/>
        <item x="3"/>
        <item x="5"/>
        <item x="0"/>
        <item t="default"/>
      </items>
    </pivotField>
    <pivotField compact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compact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dataField="1" compact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</pivotFields>
  <dataFields count="1">
    <dataField name="Average of Average Seling Price (ASP)" fld="10" subtotal="average" baseField="0" baseItem="0"/>
  </dataFields>
  <formats count="3">
    <format dxfId="8">
      <pivotArea collapsedLevelsAreSubtotals="1" fieldPosition="0"/>
    </format>
    <format dxfId="9">
      <pivotArea collapsedLevelsAreSubtotals="1" fieldPosition="0"/>
    </format>
    <format dxfId="1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 chartFormat="9">
  <location ref="I31:J38" firstHeaderRow="1" firstDataRow="1" firstDataCol="1"/>
  <pivotFields count="11">
    <pivotField compact="0" outline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compact="0" outline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axis="axisRow" compact="0" outline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outline="0" numFmtId="58" showAll="0">
      <items count="2">
        <item x="0"/>
        <item t="default"/>
      </items>
    </pivotField>
    <pivotField compact="0" outline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dataField="1" compact="0" outline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Sum of Total Sales" fld="9" baseField="0" baseItem="0"/>
  </dataFields>
  <formats count="7">
    <format dxfId="11">
      <pivotArea type="all" dataOnly="0" outline="0" fieldPosition="0"/>
    </format>
    <format dxfId="12">
      <pivotArea collapsedLevelsAreSubtotals="1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5" type="button" dataOnly="0" labelOnly="1" outline="0" fieldPosition="0"/>
    </format>
    <format dxfId="16">
      <pivotArea dataOnly="0" labelOnly="1" outline="0" fieldPosition="0">
        <references count="1">
          <reference field="5" count="0"/>
        </references>
      </pivotArea>
    </format>
    <format dxfId="17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4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 chartFormat="8">
  <location ref="D46:E50" firstHeaderRow="1" firstDataRow="1" firstDataCol="1"/>
  <pivotFields count="11">
    <pivotField compact="0" outline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compact="0" outline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axis="axisRow"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outline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outline="0" numFmtId="58" showAll="0">
      <items count="2">
        <item x="0"/>
        <item t="default"/>
      </items>
    </pivotField>
    <pivotField compact="0" outline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dataField="1" compact="0" outline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Total Sales" fld="9" baseField="0" baseItem="0"/>
  </dataFields>
  <formats count="7">
    <format dxfId="18">
      <pivotArea type="all" dataOnly="0" outline="0" fieldPosition="0"/>
    </format>
    <format dxfId="19">
      <pivotArea collapsedLevelsAreSubtotals="1" fieldPosition="0"/>
    </format>
    <format dxfId="20">
      <pivotArea type="all" dataOnly="0" outline="0" fieldPosition="0"/>
    </format>
    <format dxfId="21">
      <pivotArea outline="0" collapsedLevelsAreSubtotals="1" fieldPosition="0"/>
    </format>
    <format dxfId="22">
      <pivotArea field="2" type="button" dataOnly="0" labelOnly="1" outline="0" fieldPosition="0"/>
    </format>
    <format dxfId="23">
      <pivotArea dataOnly="0" labelOnly="1" outline="0" fieldPosition="0">
        <references count="1">
          <reference field="2" count="0"/>
        </references>
      </pivotArea>
    </format>
    <format dxfId="24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7" minRefreshableVersion="3" createdVersion="7" useAutoFormatting="1" indent="0" outline="1" outlineData="1" showDrill="1" multipleFieldFilters="0" chartFormat="5">
  <location ref="I10:J21" firstHeaderRow="1" firstDataRow="1" firstDataCol="1"/>
  <pivotFields count="11">
    <pivotField axis="axisRow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dataField="1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showAll="0">
      <items count="5">
        <item x="2"/>
        <item x="0"/>
        <item x="3"/>
        <item x="1"/>
        <item t="default"/>
      </items>
    </pivotField>
    <pivotField showAll="0">
      <items count="7">
        <item x="1"/>
        <item x="2"/>
        <item x="4"/>
        <item x="3"/>
        <item x="5"/>
        <item x="0"/>
        <item t="default"/>
      </items>
    </pivotField>
    <pivotField numFmtId="183" showAll="0"/>
    <pivotField numFmtId="1" showAll="0"/>
    <pivotField numFmtId="58" showAll="0"/>
    <pivotField showAll="0"/>
    <pivotField numFmtId="184" showAll="0"/>
    <pivotField numFmtId="184" showAll="0"/>
    <pivotField numFmtId="18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Product Category" fld="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13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>
  <location ref="E17:F27" firstHeaderRow="1" firstDataRow="1" firstDataCol="1"/>
  <pivotFields count="11">
    <pivotField compact="0" outline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axis="axisRow" compact="0" sortType="descending" outline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outline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outline="0" numFmtId="58" showAll="0">
      <items count="2">
        <item x="0"/>
        <item t="default"/>
      </items>
    </pivotField>
    <pivotField compact="0" outline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dataField="1" compact="0" outline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</pivotFields>
  <rowFields count="1">
    <field x="1"/>
  </rowFields>
  <rowItems count="10">
    <i>
      <x v="7"/>
    </i>
    <i>
      <x/>
    </i>
    <i>
      <x v="2"/>
    </i>
    <i>
      <x v="5"/>
    </i>
    <i>
      <x v="4"/>
    </i>
    <i>
      <x v="8"/>
    </i>
    <i>
      <x v="9"/>
    </i>
    <i>
      <x v="6"/>
    </i>
    <i>
      <x v="1"/>
    </i>
    <i>
      <x v="3"/>
    </i>
  </rowItems>
  <colItems count="1">
    <i/>
  </colItems>
  <dataFields count="1">
    <dataField name="Average of Total Sales" fld="9" subtotal="average" baseField="0" baseItem="0"/>
  </dataFields>
  <formats count="15">
    <format dxfId="25">
      <pivotArea collapsedLevelsAreSubtotals="1" fieldPosition="0">
        <references count="1">
          <reference field="1" count="1" selected="0">
            <x v="0"/>
          </reference>
        </references>
      </pivotArea>
    </format>
    <format dxfId="26">
      <pivotArea collapsedLevelsAreSubtotals="1" fieldPosition="0">
        <references count="1">
          <reference field="1" count="1" selected="0">
            <x v="1"/>
          </reference>
        </references>
      </pivotArea>
    </format>
    <format dxfId="27">
      <pivotArea collapsedLevelsAreSubtotals="1" fieldPosition="0">
        <references count="1">
          <reference field="1" count="1" selected="0">
            <x v="2"/>
          </reference>
        </references>
      </pivotArea>
    </format>
    <format dxfId="28">
      <pivotArea collapsedLevelsAreSubtotals="1" fieldPosition="0">
        <references count="1">
          <reference field="1" count="1" selected="0">
            <x v="3"/>
          </reference>
        </references>
      </pivotArea>
    </format>
    <format dxfId="29">
      <pivotArea collapsedLevelsAreSubtotals="1" fieldPosition="0">
        <references count="1">
          <reference field="1" count="1" selected="0">
            <x v="4"/>
          </reference>
        </references>
      </pivotArea>
    </format>
    <format dxfId="30">
      <pivotArea collapsedLevelsAreSubtotals="1" fieldPosition="0">
        <references count="1">
          <reference field="1" count="1" selected="0">
            <x v="5"/>
          </reference>
        </references>
      </pivotArea>
    </format>
    <format dxfId="31">
      <pivotArea collapsedLevelsAreSubtotals="1" fieldPosition="0">
        <references count="1">
          <reference field="1" count="1" selected="0">
            <x v="6"/>
          </reference>
        </references>
      </pivotArea>
    </format>
    <format dxfId="32">
      <pivotArea collapsedLevelsAreSubtotals="1" fieldPosition="0">
        <references count="1">
          <reference field="1" count="1" selected="0">
            <x v="7"/>
          </reference>
        </references>
      </pivotArea>
    </format>
    <format dxfId="33">
      <pivotArea collapsedLevelsAreSubtotals="1" fieldPosition="0">
        <references count="1">
          <reference field="1" count="1" selected="0">
            <x v="8"/>
          </reference>
        </references>
      </pivotArea>
    </format>
    <format dxfId="34">
      <pivotArea collapsedLevelsAreSubtotals="1" fieldPosition="0">
        <references count="1">
          <reference field="1" count="1" selected="0">
            <x v="9"/>
          </reference>
        </references>
      </pivotArea>
    </format>
    <format dxfId="35">
      <pivotArea type="all" dataOnly="0" outline="0" fieldPosition="0"/>
    </format>
    <format dxfId="36">
      <pivotArea outline="0" collapsedLevelsAreSubtotals="1" fieldPosition="0"/>
    </format>
    <format dxfId="37">
      <pivotArea field="1" type="button" dataOnly="0" labelOnly="1" outline="0" fieldPosition="0"/>
    </format>
    <format dxfId="38">
      <pivotArea dataOnly="0" labelOnly="1" outline="0" fieldPosition="0">
        <references count="1">
          <reference field="1" count="0"/>
        </references>
      </pivotArea>
    </format>
    <format dxfId="39">
      <pivotArea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 chartFormat="14">
  <location ref="A44:B49" firstHeaderRow="1" firstDataRow="1" firstDataCol="1"/>
  <pivotFields count="11">
    <pivotField axis="axisRow" measureFilter="1" compact="0" sortType="descending" outline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compact="0" outline="0" showAll="0">
      <items count="5">
        <item x="2"/>
        <item x="0"/>
        <item x="3"/>
        <item x="1"/>
        <item t="default"/>
      </items>
    </pivotField>
    <pivotField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outline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outline="0" numFmtId="58" showAll="0">
      <items count="2">
        <item x="0"/>
        <item t="default"/>
      </items>
    </pivotField>
    <pivotField compact="0" outline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dataField="1" compact="0" outline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outline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</pivotFields>
  <rowFields count="1">
    <field x="0"/>
  </rowFields>
  <rowItems count="5">
    <i>
      <x v="6"/>
    </i>
    <i>
      <x v="4"/>
    </i>
    <i>
      <x v="9"/>
    </i>
    <i>
      <x v="2"/>
    </i>
    <i>
      <x v="7"/>
    </i>
  </rowItems>
  <colItems count="1">
    <i/>
  </colItems>
  <dataFields count="1">
    <dataField name="Sum of Total Sales" fld="9" baseField="0" baseItem="0"/>
  </dataFields>
  <formats count="7">
    <format dxfId="40">
      <pivotArea type="all" dataOnly="0" outline="0" fieldPosition="0"/>
    </format>
    <format dxfId="41">
      <pivotArea collapsedLevelsAreSubtotals="1" fieldPosition="0"/>
    </format>
    <format dxfId="42">
      <pivotArea type="all" dataOnly="0" outline="0" fieldPosition="0"/>
    </format>
    <format dxfId="43">
      <pivotArea outline="0" collapsedLevelsAreSubtotals="1" fieldPosition="0"/>
    </format>
    <format dxfId="44">
      <pivotArea field="0" type="button" dataOnly="0" labelOnly="1" outline="0" fieldPosition="0"/>
    </format>
    <format dxfId="45">
      <pivotArea dataOnly="0" labelOnly="1" outline="0" fieldPosition="0">
        <references count="1">
          <reference field="0" count="5">
            <x v="2"/>
            <x v="4"/>
            <x v="6"/>
            <x v="7"/>
            <x v="9"/>
          </reference>
        </references>
      </pivotArea>
    </format>
    <format dxfId="46">
      <pivotArea dataOnly="0" labelOnly="1" outline="0" fieldPosition="0"/>
    </format>
  </formats>
  <pivotTableStyleInfo name="PivotStyleLight16" showRowHeaders="1" showColHeaders="1" showLastColumn="1"/>
  <filters count="1">
    <filter evalOrder="-1" fld="0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 chartFormat="9">
  <location ref="A22:B28" firstHeaderRow="1" firstDataRow="1" firstDataCol="1"/>
  <pivotFields count="11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axis="axisRow"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outline="0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numFmtId="58" showAll="0">
      <items count="2">
        <item x="0"/>
        <item t="default"/>
      </items>
    </pivotField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numFmtId="18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compact="0" outline="0" numFmtId="18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compact="0" outline="0" numFmtId="18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dataFields count="1">
    <dataField name="Sum of Total Sales" fld="9" baseField="0" baseItem="0"/>
  </dataFields>
  <formats count="15">
    <format dxfId="47">
      <pivotArea collapsedLevelsAreSubtotals="1" fieldPosition="0">
        <references count="1">
          <reference field="3" count="1" selected="0">
            <x v="0"/>
          </reference>
        </references>
      </pivotArea>
    </format>
    <format dxfId="48">
      <pivotArea collapsedLevelsAreSubtotals="1" fieldPosition="0">
        <references count="1">
          <reference field="3" count="1" selected="0">
            <x v="1"/>
          </reference>
        </references>
      </pivotArea>
    </format>
    <format dxfId="49">
      <pivotArea collapsedLevelsAreSubtotals="1" fieldPosition="0">
        <references count="1">
          <reference field="3" count="1" selected="0">
            <x v="2"/>
          </reference>
        </references>
      </pivotArea>
    </format>
    <format dxfId="50">
      <pivotArea collapsedLevelsAreSubtotals="1" fieldPosition="0">
        <references count="1">
          <reference field="3" count="1" selected="0">
            <x v="3"/>
          </reference>
        </references>
      </pivotArea>
    </format>
    <format dxfId="51">
      <pivotArea collapsedLevelsAreSubtotals="1" fieldPosition="0">
        <references count="1">
          <reference field="3" count="1" selected="0">
            <x v="4"/>
          </reference>
        </references>
      </pivotArea>
    </format>
    <format dxfId="52">
      <pivotArea collapsedLevelsAreSubtotals="1" fieldPosition="0">
        <references count="1">
          <reference field="3" count="1" selected="0">
            <x v="5"/>
          </reference>
        </references>
      </pivotArea>
    </format>
    <format dxfId="53">
      <pivotArea type="all" dataOnly="0" outline="0" fieldPosition="0"/>
    </format>
    <format dxfId="54">
      <pivotArea outline="0" fieldPosition="0">
        <references count="1">
          <reference field="3" count="5" selected="0">
            <x v="0"/>
            <x v="1"/>
            <x v="2"/>
            <x v="3"/>
            <x v="4"/>
          </reference>
        </references>
      </pivotArea>
    </format>
    <format dxfId="55">
      <pivotArea field="3" type="button" dataOnly="0" labelOnly="1" outline="0" fieldPosition="0"/>
    </format>
    <format dxfId="56">
      <pivotArea dataOnly="0" labelOnly="1" outline="0" fieldPosition="0">
        <references count="1">
          <reference field="3" count="5">
            <x v="0"/>
            <x v="1"/>
            <x v="2"/>
            <x v="3"/>
            <x v="4"/>
          </reference>
        </references>
      </pivotArea>
    </format>
    <format dxfId="57">
      <pivotArea dataOnly="0" labelOnly="1" outline="0" fieldPosition="0"/>
    </format>
    <format dxfId="58">
      <pivotArea outline="0" fieldPosition="0">
        <references count="1">
          <reference field="3" count="1" selected="0">
            <x v="5"/>
          </reference>
        </references>
      </pivotArea>
    </format>
    <format dxfId="59">
      <pivotArea dataOnly="0" labelOnly="1" outline="0" fieldPosition="0">
        <references count="1">
          <reference field="3" count="1">
            <x v="5"/>
          </reference>
        </references>
      </pivotArea>
    </format>
    <format dxfId="60">
      <pivotArea type="all" dataOnly="0" outline="0" fieldPosition="0"/>
    </format>
    <format dxfId="61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>
  <location ref="A12:B13" firstHeaderRow="1" firstDataRow="1" firstDataCol="1"/>
  <pivotFields count="11">
    <pivotField compact="0" defaultSubtotal="0" outline="0" showAll="0">
      <items count="10">
        <item x="0"/>
        <item x="2"/>
        <item x="8"/>
        <item x="7"/>
        <item x="5"/>
        <item x="9"/>
        <item x="4"/>
        <item x="1"/>
        <item x="6"/>
        <item x="3"/>
      </items>
    </pivotField>
    <pivotField axis="axisRow" measureFilter="1" compact="0" sortType="descending" defaultSubtotal="0" outline="0" showAll="0">
      <items count="10">
        <item x="2"/>
        <item x="5"/>
        <item x="8"/>
        <item x="4"/>
        <item x="9"/>
        <item x="3"/>
        <item x="6"/>
        <item x="7"/>
        <item x="0"/>
        <item x="1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defaultSubtotal="0" outline="0" showAll="0">
      <items count="4">
        <item x="2"/>
        <item x="0"/>
        <item x="3"/>
        <item x="1"/>
      </items>
    </pivotField>
    <pivotField compact="0" defaultSubtotal="0" outline="0" showAll="0">
      <items count="6">
        <item x="1"/>
        <item x="2"/>
        <item x="4"/>
        <item x="3"/>
        <item x="5"/>
        <item x="0"/>
      </items>
    </pivotField>
    <pivotField compact="0" defaultSubtotal="0" outline="0" numFmtId="183" showAll="0">
      <items count="141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</items>
    </pivotField>
    <pivotField compact="0" defaultSubtotal="0" outline="0" numFmtId="1" showAll="0">
      <items count="7">
        <item x="5"/>
        <item x="6"/>
        <item x="4"/>
        <item x="1"/>
        <item x="0"/>
        <item x="3"/>
        <item x="2"/>
      </items>
    </pivotField>
    <pivotField compact="0" defaultSubtotal="0" outline="0" numFmtId="58" showAll="0">
      <items count="1">
        <item x="0"/>
      </items>
    </pivotField>
    <pivotField compact="0" defaultSubtotal="0" outline="0" showAll="0">
      <items count="10">
        <item x="3"/>
        <item x="1"/>
        <item x="0"/>
        <item x="7"/>
        <item x="5"/>
        <item x="6"/>
        <item x="4"/>
        <item x="8"/>
        <item x="9"/>
        <item x="2"/>
      </items>
    </pivotField>
    <pivotField compact="0" defaultSubtotal="0" outline="0" numFmtId="184" showAll="0">
      <items count="220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</items>
    </pivotField>
    <pivotField dataField="1" compact="0" defaultSubtotal="0" outline="0" numFmtId="184" showAll="0">
      <items count="243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</items>
    </pivotField>
    <pivotField compact="0" outline="0" subtotalTop="0" numFmtId="184" showAll="0"/>
  </pivotFields>
  <rowFields count="1">
    <field x="1"/>
  </rowFields>
  <rowItems count="1">
    <i>
      <x v="8"/>
    </i>
  </rowItems>
  <colItems count="1">
    <i/>
  </colItems>
  <dataFields count="1">
    <dataField name="Sum of Total Sales" fld="9" baseField="0" baseItem="0"/>
  </dataFields>
  <formats count="1">
    <format dxfId="62">
      <pivotArea collapsedLevelsAreSubtotals="1" fieldPosition="0"/>
    </format>
  </formats>
  <pivotTableStyleInfo name="PivotStyleLight16" showRowHeaders="1" showColHeaders="1" showLastColumn="1"/>
  <filters count="1">
    <filter evalOrder="-1" fld="1" iMeasureFld="0" id="1" type="count">
      <autoFilter ref="A1">
        <filterColumn colId="0">
          <top10 filterVal="1" 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rowGrandTotals="0" colGrandTotals="0" compact="0" indent="0" compactData="0" showDrill="1" multipleFieldFilters="0">
  <location ref="E32:G42" firstHeaderRow="0" firstDataRow="1" firstDataCol="1" rowPageCount="1" colPageCount="1"/>
  <pivotFields count="11">
    <pivotField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Row" compact="0" sortType="descending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>
      <items count="5">
        <item x="0"/>
        <item x="1"/>
        <item x="2"/>
        <item x="3"/>
        <item t="default"/>
      </items>
    </pivotField>
    <pivotField axis="axisPage" compact="0" outline="0" showAll="0">
      <items count="7">
        <item x="1"/>
        <item x="2"/>
        <item x="4"/>
        <item x="3"/>
        <item x="5"/>
        <item x="0"/>
        <item t="default"/>
      </items>
    </pivotField>
    <pivotField compact="0" outline="0" numFmtId="183" showAll="0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0" outline="0" numFmtId="1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outline="0" numFmtId="58" showAll="0">
      <items count="2">
        <item x="0"/>
        <item t="default"/>
      </items>
    </pivotField>
    <pivotField dataField="1" compact="0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numFmtId="18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dataField="1" compact="0" outline="0" numFmtId="184" showAll="0">
      <items count="24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compact="0" outline="0" numFmtId="184" showAll="0">
      <items count="2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</pivotFields>
  <rowFields count="1">
    <field x="1"/>
  </rowFields>
  <rowItems count="10">
    <i>
      <x/>
    </i>
    <i>
      <x v="2"/>
    </i>
    <i>
      <x v="3"/>
    </i>
    <i>
      <x v="8"/>
    </i>
    <i>
      <x v="6"/>
    </i>
    <i>
      <x v="9"/>
    </i>
    <i>
      <x v="1"/>
    </i>
    <i>
      <x v="4"/>
    </i>
    <i>
      <x v="5"/>
    </i>
    <i>
      <x v="7"/>
    </i>
  </rowItems>
  <colFields count="1">
    <field x="-2"/>
  </colFields>
  <colItems count="2">
    <i>
      <x/>
    </i>
    <i i="1">
      <x v="1"/>
    </i>
  </colItems>
  <pageFields count="1">
    <pageField fld="3"/>
  </pageFields>
  <dataFields count="2">
    <dataField name="Sum of Quantity" fld="7" baseField="0" baseItem="0"/>
    <dataField name="Sum of Total Sales" fld="9" baseField="0" baseItem="0"/>
  </dataFields>
  <formats count="6">
    <format dxfId="63">
      <pivotArea collapsedLevelsAreSubtotals="1" fieldPosition="0"/>
    </format>
    <format dxfId="64">
      <pivotArea type="all" dataOnly="0" outline="0" fieldPosition="0"/>
    </format>
    <format dxfId="65">
      <pivotArea outline="0" collapsedLevelsAreSubtotals="1" fieldPosition="0"/>
    </format>
    <format dxfId="66">
      <pivotArea field="1" type="button" dataOnly="0" labelOnly="1" outline="0" fieldPosition="0"/>
    </format>
    <format dxfId="67">
      <pivotArea dataOnly="0" labelOnly="1" outline="0" fieldPosition="0">
        <references count="1">
          <reference field="1" count="0"/>
        </references>
      </pivotArea>
    </format>
    <format dxfId="6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5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7" minRefreshableVersion="3" createdVersion="5" useAutoFormatting="1" compact="0" indent="0" outline="1" compactData="0" outlineData="1" showDrill="1" multipleFieldFilters="0">
  <location ref="A2:A3" firstHeaderRow="1" firstDataRow="1" firstDataCol="0"/>
  <pivotFields count="11">
    <pivotField compact="0" showAll="0">
      <items count="11">
        <item x="0"/>
        <item x="2"/>
        <item x="8"/>
        <item x="7"/>
        <item x="5"/>
        <item x="9"/>
        <item x="4"/>
        <item x="1"/>
        <item x="6"/>
        <item x="3"/>
        <item t="default"/>
      </items>
    </pivotField>
    <pivotField compact="0" showAll="0">
      <items count="11">
        <item x="2"/>
        <item x="5"/>
        <item x="8"/>
        <item x="4"/>
        <item x="9"/>
        <item x="3"/>
        <item x="6"/>
        <item x="7"/>
        <item x="0"/>
        <item x="1"/>
        <item t="default"/>
      </items>
    </pivotField>
    <pivotField compact="0" showAll="0">
      <items count="5">
        <item x="2"/>
        <item x="0"/>
        <item x="3"/>
        <item x="1"/>
        <item t="default"/>
      </items>
    </pivotField>
    <pivotField compact="0" showAll="0">
      <items count="7">
        <item x="1"/>
        <item x="2"/>
        <item x="4"/>
        <item x="3"/>
        <item x="5"/>
        <item x="0"/>
        <item t="default"/>
      </items>
    </pivotField>
    <pivotField compact="0" numFmtId="183" showAll="0">
      <items count="142">
        <item x="93"/>
        <item x="1"/>
        <item x="138"/>
        <item x="4"/>
        <item x="21"/>
        <item x="134"/>
        <item x="133"/>
        <item x="81"/>
        <item x="61"/>
        <item x="122"/>
        <item x="115"/>
        <item x="103"/>
        <item x="11"/>
        <item x="47"/>
        <item x="41"/>
        <item x="43"/>
        <item x="104"/>
        <item x="91"/>
        <item x="131"/>
        <item x="67"/>
        <item x="95"/>
        <item x="85"/>
        <item x="12"/>
        <item x="73"/>
        <item x="119"/>
        <item x="102"/>
        <item x="65"/>
        <item x="7"/>
        <item x="69"/>
        <item x="5"/>
        <item x="53"/>
        <item x="107"/>
        <item x="50"/>
        <item x="111"/>
        <item x="92"/>
        <item x="2"/>
        <item x="97"/>
        <item x="116"/>
        <item x="109"/>
        <item x="89"/>
        <item x="25"/>
        <item x="130"/>
        <item x="80"/>
        <item x="77"/>
        <item x="99"/>
        <item x="86"/>
        <item x="139"/>
        <item x="29"/>
        <item x="56"/>
        <item x="68"/>
        <item x="17"/>
        <item x="40"/>
        <item x="48"/>
        <item x="20"/>
        <item x="54"/>
        <item x="62"/>
        <item x="14"/>
        <item x="38"/>
        <item x="28"/>
        <item x="75"/>
        <item x="113"/>
        <item x="114"/>
        <item x="6"/>
        <item x="118"/>
        <item x="83"/>
        <item x="121"/>
        <item x="37"/>
        <item x="58"/>
        <item x="140"/>
        <item x="127"/>
        <item x="78"/>
        <item x="120"/>
        <item x="18"/>
        <item x="59"/>
        <item x="16"/>
        <item x="27"/>
        <item x="3"/>
        <item x="101"/>
        <item x="126"/>
        <item x="117"/>
        <item x="98"/>
        <item x="136"/>
        <item x="82"/>
        <item x="71"/>
        <item x="60"/>
        <item x="84"/>
        <item x="110"/>
        <item x="88"/>
        <item x="64"/>
        <item x="34"/>
        <item x="44"/>
        <item x="42"/>
        <item x="57"/>
        <item x="52"/>
        <item x="137"/>
        <item x="33"/>
        <item x="35"/>
        <item x="13"/>
        <item x="63"/>
        <item x="24"/>
        <item x="36"/>
        <item x="32"/>
        <item x="79"/>
        <item x="22"/>
        <item x="87"/>
        <item x="74"/>
        <item x="70"/>
        <item x="72"/>
        <item x="66"/>
        <item x="10"/>
        <item x="76"/>
        <item x="123"/>
        <item x="45"/>
        <item x="106"/>
        <item x="100"/>
        <item x="23"/>
        <item x="125"/>
        <item x="105"/>
        <item x="49"/>
        <item x="15"/>
        <item x="124"/>
        <item x="19"/>
        <item x="96"/>
        <item x="46"/>
        <item x="51"/>
        <item x="94"/>
        <item x="0"/>
        <item x="9"/>
        <item x="90"/>
        <item x="129"/>
        <item x="108"/>
        <item x="112"/>
        <item x="128"/>
        <item x="55"/>
        <item x="132"/>
        <item x="8"/>
        <item x="31"/>
        <item x="26"/>
        <item x="135"/>
        <item x="30"/>
        <item x="39"/>
        <item t="default"/>
      </items>
    </pivotField>
    <pivotField compact="0" numFmtId="1" showAll="0">
      <items count="8">
        <item x="5"/>
        <item x="6"/>
        <item x="4"/>
        <item x="1"/>
        <item x="0"/>
        <item x="3"/>
        <item x="2"/>
        <item t="default"/>
      </items>
    </pivotField>
    <pivotField compact="0" numFmtId="58" showAll="0">
      <items count="2">
        <item x="0"/>
        <item t="default"/>
      </items>
    </pivotField>
    <pivotField compact="0" showAll="0">
      <items count="11">
        <item x="3"/>
        <item x="1"/>
        <item x="0"/>
        <item x="7"/>
        <item x="5"/>
        <item x="6"/>
        <item x="4"/>
        <item x="8"/>
        <item x="9"/>
        <item x="2"/>
        <item t="default"/>
      </items>
    </pivotField>
    <pivotField compact="0" numFmtId="184" showAll="0">
      <items count="221">
        <item x="111"/>
        <item x="98"/>
        <item x="178"/>
        <item x="213"/>
        <item x="116"/>
        <item x="159"/>
        <item x="113"/>
        <item x="123"/>
        <item x="84"/>
        <item x="211"/>
        <item x="214"/>
        <item x="149"/>
        <item x="37"/>
        <item x="203"/>
        <item x="31"/>
        <item x="8"/>
        <item x="52"/>
        <item x="190"/>
        <item x="63"/>
        <item x="33"/>
        <item x="117"/>
        <item x="122"/>
        <item x="176"/>
        <item x="169"/>
        <item x="120"/>
        <item x="40"/>
        <item x="92"/>
        <item x="114"/>
        <item x="32"/>
        <item x="119"/>
        <item x="212"/>
        <item x="193"/>
        <item x="155"/>
        <item x="200"/>
        <item x="17"/>
        <item x="19"/>
        <item x="207"/>
        <item x="86"/>
        <item x="216"/>
        <item x="130"/>
        <item x="77"/>
        <item x="74"/>
        <item x="79"/>
        <item x="145"/>
        <item x="6"/>
        <item x="128"/>
        <item x="127"/>
        <item x="30"/>
        <item x="209"/>
        <item x="125"/>
        <item x="76"/>
        <item x="5"/>
        <item x="91"/>
        <item x="187"/>
        <item x="58"/>
        <item x="183"/>
        <item x="99"/>
        <item x="205"/>
        <item x="197"/>
        <item x="88"/>
        <item x="26"/>
        <item x="177"/>
        <item x="13"/>
        <item x="75"/>
        <item x="124"/>
        <item x="110"/>
        <item x="16"/>
        <item x="14"/>
        <item x="108"/>
        <item x="49"/>
        <item x="66"/>
        <item x="50"/>
        <item x="73"/>
        <item x="41"/>
        <item x="4"/>
        <item x="139"/>
        <item x="94"/>
        <item x="156"/>
        <item x="166"/>
        <item x="102"/>
        <item x="18"/>
        <item x="36"/>
        <item x="10"/>
        <item x="29"/>
        <item x="126"/>
        <item x="109"/>
        <item x="105"/>
        <item x="35"/>
        <item x="3"/>
        <item x="133"/>
        <item x="180"/>
        <item x="51"/>
        <item x="153"/>
        <item x="217"/>
        <item x="134"/>
        <item x="132"/>
        <item x="174"/>
        <item x="89"/>
        <item x="182"/>
        <item x="97"/>
        <item x="57"/>
        <item x="196"/>
        <item x="143"/>
        <item x="69"/>
        <item x="2"/>
        <item x="107"/>
        <item x="54"/>
        <item x="168"/>
        <item x="179"/>
        <item x="45"/>
        <item x="195"/>
        <item x="72"/>
        <item x="42"/>
        <item x="104"/>
        <item x="199"/>
        <item x="215"/>
        <item x="90"/>
        <item x="219"/>
        <item x="115"/>
        <item x="202"/>
        <item x="59"/>
        <item x="65"/>
        <item x="184"/>
        <item x="15"/>
        <item x="137"/>
        <item x="67"/>
        <item x="208"/>
        <item x="20"/>
        <item x="44"/>
        <item x="12"/>
        <item x="95"/>
        <item x="25"/>
        <item x="164"/>
        <item x="165"/>
        <item x="46"/>
        <item x="158"/>
        <item x="198"/>
        <item x="38"/>
        <item x="28"/>
        <item x="129"/>
        <item x="101"/>
        <item x="103"/>
        <item x="27"/>
        <item x="142"/>
        <item x="161"/>
        <item x="157"/>
        <item x="21"/>
        <item x="64"/>
        <item x="22"/>
        <item x="48"/>
        <item x="11"/>
        <item x="43"/>
        <item x="204"/>
        <item x="70"/>
        <item x="136"/>
        <item x="140"/>
        <item x="96"/>
        <item x="85"/>
        <item x="121"/>
        <item x="81"/>
        <item x="112"/>
        <item x="144"/>
        <item x="189"/>
        <item x="194"/>
        <item x="131"/>
        <item x="55"/>
        <item x="68"/>
        <item x="93"/>
        <item x="154"/>
        <item x="151"/>
        <item x="80"/>
        <item x="150"/>
        <item x="171"/>
        <item x="186"/>
        <item x="201"/>
        <item x="1"/>
        <item x="146"/>
        <item x="135"/>
        <item x="138"/>
        <item x="218"/>
        <item x="185"/>
        <item x="53"/>
        <item x="152"/>
        <item x="147"/>
        <item x="56"/>
        <item x="100"/>
        <item x="172"/>
        <item x="181"/>
        <item x="167"/>
        <item x="71"/>
        <item x="170"/>
        <item x="160"/>
        <item x="60"/>
        <item x="173"/>
        <item x="39"/>
        <item x="141"/>
        <item x="24"/>
        <item x="192"/>
        <item x="191"/>
        <item x="175"/>
        <item x="23"/>
        <item x="162"/>
        <item x="62"/>
        <item x="118"/>
        <item x="87"/>
        <item x="83"/>
        <item x="47"/>
        <item x="148"/>
        <item x="0"/>
        <item x="82"/>
        <item x="188"/>
        <item x="210"/>
        <item x="106"/>
        <item x="34"/>
        <item x="7"/>
        <item x="163"/>
        <item x="9"/>
        <item x="206"/>
        <item x="61"/>
        <item x="78"/>
        <item t="default"/>
      </items>
    </pivotField>
    <pivotField dataField="1" compact="0" numFmtId="184" showAll="0">
      <items count="244">
        <item x="207"/>
        <item x="185"/>
        <item x="188"/>
        <item x="178"/>
        <item x="99"/>
        <item x="26"/>
        <item x="237"/>
        <item x="95"/>
        <item x="36"/>
        <item x="3"/>
        <item x="193"/>
        <item x="121"/>
        <item x="73"/>
        <item x="218"/>
        <item x="238"/>
        <item x="234"/>
        <item x="235"/>
        <item x="114"/>
        <item x="20"/>
        <item x="12"/>
        <item x="46"/>
        <item x="148"/>
        <item x="210"/>
        <item x="86"/>
        <item x="100"/>
        <item x="216"/>
        <item x="101"/>
        <item x="172"/>
        <item x="182"/>
        <item x="49"/>
        <item x="233"/>
        <item x="41"/>
        <item x="170"/>
        <item x="222"/>
        <item x="31"/>
        <item x="8"/>
        <item x="226"/>
        <item x="131"/>
        <item x="29"/>
        <item x="195"/>
        <item x="51"/>
        <item x="135"/>
        <item x="117"/>
        <item x="166"/>
        <item x="85"/>
        <item x="40"/>
        <item x="52"/>
        <item x="64"/>
        <item x="229"/>
        <item x="33"/>
        <item x="165"/>
        <item x="74"/>
        <item x="217"/>
        <item x="129"/>
        <item x="155"/>
        <item x="175"/>
        <item x="192"/>
        <item x="48"/>
        <item x="134"/>
        <item x="19"/>
        <item x="118"/>
        <item x="198"/>
        <item x="94"/>
        <item x="180"/>
        <item x="70"/>
        <item x="78"/>
        <item x="1"/>
        <item x="37"/>
        <item x="181"/>
        <item x="176"/>
        <item x="16"/>
        <item x="14"/>
        <item x="67"/>
        <item x="145"/>
        <item x="186"/>
        <item x="208"/>
        <item x="112"/>
        <item x="219"/>
        <item x="230"/>
        <item x="211"/>
        <item x="232"/>
        <item x="227"/>
        <item x="34"/>
        <item x="5"/>
        <item x="79"/>
        <item x="59"/>
        <item x="68"/>
        <item x="127"/>
        <item x="223"/>
        <item x="93"/>
        <item x="124"/>
        <item x="6"/>
        <item x="120"/>
        <item x="76"/>
        <item x="162"/>
        <item x="123"/>
        <item x="146"/>
        <item x="168"/>
        <item x="30"/>
        <item x="11"/>
        <item x="203"/>
        <item x="71"/>
        <item x="202"/>
        <item x="214"/>
        <item x="115"/>
        <item x="163"/>
        <item x="32"/>
        <item x="212"/>
        <item x="81"/>
        <item x="201"/>
        <item x="13"/>
        <item x="221"/>
        <item x="125"/>
        <item x="87"/>
        <item x="141"/>
        <item x="240"/>
        <item x="183"/>
        <item x="50"/>
        <item x="25"/>
        <item x="80"/>
        <item x="150"/>
        <item x="204"/>
        <item x="0"/>
        <item x="225"/>
        <item x="103"/>
        <item x="18"/>
        <item x="65"/>
        <item x="239"/>
        <item x="75"/>
        <item x="160"/>
        <item x="17"/>
        <item x="66"/>
        <item x="15"/>
        <item x="128"/>
        <item x="4"/>
        <item x="138"/>
        <item x="98"/>
        <item x="156"/>
        <item x="89"/>
        <item x="190"/>
        <item x="159"/>
        <item x="196"/>
        <item x="10"/>
        <item x="167"/>
        <item x="169"/>
        <item x="91"/>
        <item x="88"/>
        <item x="116"/>
        <item x="126"/>
        <item x="158"/>
        <item x="77"/>
        <item x="60"/>
        <item x="92"/>
        <item x="109"/>
        <item x="213"/>
        <item x="44"/>
        <item x="96"/>
        <item x="157"/>
        <item x="174"/>
        <item x="231"/>
        <item x="189"/>
        <item x="111"/>
        <item x="104"/>
        <item x="90"/>
        <item x="242"/>
        <item x="179"/>
        <item x="187"/>
        <item x="194"/>
        <item x="108"/>
        <item x="43"/>
        <item x="24"/>
        <item x="54"/>
        <item x="23"/>
        <item x="45"/>
        <item x="144"/>
        <item x="143"/>
        <item x="82"/>
        <item x="228"/>
        <item x="140"/>
        <item x="191"/>
        <item x="173"/>
        <item x="55"/>
        <item x="9"/>
        <item x="62"/>
        <item x="147"/>
        <item x="28"/>
        <item x="110"/>
        <item x="106"/>
        <item x="35"/>
        <item x="139"/>
        <item x="200"/>
        <item x="199"/>
        <item x="224"/>
        <item x="133"/>
        <item x="137"/>
        <item x="197"/>
        <item x="122"/>
        <item x="58"/>
        <item x="215"/>
        <item x="2"/>
        <item x="177"/>
        <item x="38"/>
        <item x="205"/>
        <item x="102"/>
        <item x="7"/>
        <item x="220"/>
        <item x="136"/>
        <item x="21"/>
        <item x="42"/>
        <item x="105"/>
        <item x="153"/>
        <item x="97"/>
        <item x="142"/>
        <item x="39"/>
        <item x="113"/>
        <item x="209"/>
        <item x="132"/>
        <item x="130"/>
        <item x="27"/>
        <item x="84"/>
        <item x="22"/>
        <item x="53"/>
        <item x="149"/>
        <item x="206"/>
        <item x="164"/>
        <item x="152"/>
        <item x="236"/>
        <item x="72"/>
        <item x="61"/>
        <item x="56"/>
        <item x="69"/>
        <item x="161"/>
        <item x="119"/>
        <item x="151"/>
        <item x="241"/>
        <item x="154"/>
        <item x="57"/>
        <item x="107"/>
        <item x="171"/>
        <item x="184"/>
        <item x="63"/>
        <item x="47"/>
        <item x="83"/>
        <item t="default"/>
      </items>
    </pivotField>
    <pivotField compact="0" numFmtId="184" showAll="0"/>
  </pivotFields>
  <dataFields count="1">
    <dataField name="Sum of Total Sales" fld="9" baseField="0" baseItem="0"/>
  </dataFields>
  <formats count="1">
    <format dxfId="6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13"/>
    <pivotTable tabId="5" name="PivotTable1"/>
    <pivotTable tabId="5" name="PivotTable10"/>
    <pivotTable tabId="5" name="PivotTable11"/>
    <pivotTable tabId="5" name="PivotTable12"/>
    <pivotTable tabId="5" name="PivotTable14"/>
    <pivotTable tabId="5" name="PivotTable2"/>
    <pivotTable tabId="5" name="PivotTable3"/>
    <pivotTable tabId="5" name="PivotTable4"/>
    <pivotTable tabId="5" name="PivotTable5"/>
    <pivotTable tabId="5" name="PivotTable6"/>
    <pivotTable tabId="5" name="PivotTable7"/>
    <pivotTable tabId="5" name="PivotTable8"/>
    <pivotTable tabId="5" name="PivotTable9"/>
  </pivotTables>
  <data>
    <tabular pivotCacheId="1">
      <items count="4">
        <i x="2" s="1"/>
        <i x="0" s="1"/>
        <i x="3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columnCount="4" style="SlicerStyleOther1" rowHeight="540000"/>
</slicers>
</file>

<file path=xl/tables/table1.xml><?xml version="1.0" encoding="utf-8"?>
<table xmlns="http://schemas.openxmlformats.org/spreadsheetml/2006/main" id="1" name="Order_Sheet" displayName="Order_Sheet" ref="A1:K251">
  <autoFilter xmlns:etc="http://www.wps.cn/officeDocument/2017/etCustomData" ref="A1:K251" etc:filterBottomFollowUsedRange="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ustomer Name" dataDxfId="70" totalsRowLabel="Total"/>
    <tableColumn id="2" name="Product Category" dataDxfId="71"/>
    <tableColumn id="6" name="Region" dataDxfId="72"/>
    <tableColumn id="8" name="Month" dataDxfId="73">
      <calculatedColumnFormula>TEXT(E2,"mmmm")</calculatedColumnFormula>
    </tableColumn>
    <tableColumn id="7" name="Order Date" dataDxfId="74"/>
    <tableColumn id="11" name="Weekday" dataDxfId="75">
      <calculatedColumnFormula>WEEKDAY(E2,1)</calculatedColumnFormula>
    </tableColumn>
    <tableColumn id="9" name="Present Date" dataDxfId="76">
      <calculatedColumnFormula>TODAY()</calculatedColumnFormula>
    </tableColumn>
    <tableColumn id="4" name="Quantity" dataDxfId="77"/>
    <tableColumn id="5" name="Unit Price" dataDxfId="78"/>
    <tableColumn id="10" name="Total Sales" dataDxfId="79"/>
    <tableColumn id="12" name="Average Seling Price (ASP)" dataDxfId="80">
      <calculatedColumnFormula>J2/H2</calculatedColumnFormula>
    </tableColumn>
  </tableColumns>
  <tableStyleInfo name="TableStylePreset4_Accen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pivotTable" Target="../pivotTables/pivotTable9.xml"/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5" Type="http://schemas.openxmlformats.org/officeDocument/2006/relationships/pivotTable" Target="../pivotTables/pivotTable15.xml"/><Relationship Id="rId14" Type="http://schemas.openxmlformats.org/officeDocument/2006/relationships/pivotTable" Target="../pivotTables/pivotTable14.xml"/><Relationship Id="rId13" Type="http://schemas.openxmlformats.org/officeDocument/2006/relationships/pivotTable" Target="../pivotTables/pivotTable13.xml"/><Relationship Id="rId12" Type="http://schemas.openxmlformats.org/officeDocument/2006/relationships/pivotTable" Target="../pivotTables/pivotTable12.xml"/><Relationship Id="rId11" Type="http://schemas.openxmlformats.org/officeDocument/2006/relationships/pivotTable" Target="../pivotTables/pivotTable11.xml"/><Relationship Id="rId10" Type="http://schemas.openxmlformats.org/officeDocument/2006/relationships/pivotTable" Target="../pivotTables/pivotTable10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51"/>
  <sheetViews>
    <sheetView topLeftCell="A225" workbookViewId="0">
      <selection activeCell="M8" sqref="M8"/>
    </sheetView>
  </sheetViews>
  <sheetFormatPr defaultColWidth="9" defaultRowHeight="15"/>
  <cols>
    <col min="1" max="1" width="16.5714285714286" customWidth="1"/>
    <col min="2" max="2" width="17.5714285714286" customWidth="1"/>
    <col min="3" max="3" width="7.71428571428571" customWidth="1"/>
    <col min="4" max="4" width="9.42857142857143" customWidth="1"/>
    <col min="5" max="5" width="11.4285714285714" customWidth="1"/>
    <col min="6" max="6" width="10" style="17" customWidth="1"/>
    <col min="7" max="7" width="13.4285714285714" customWidth="1"/>
    <col min="8" max="8" width="9.28571428571429" style="18" customWidth="1"/>
    <col min="9" max="9" width="11.2857142857143" style="19" customWidth="1"/>
    <col min="10" max="10" width="12.1428571428571" style="19" customWidth="1"/>
    <col min="11" max="11" width="26.7142857142857" customWidth="1"/>
    <col min="12" max="12" width="11.7142857142857"/>
    <col min="13" max="13" width="26.7142857142857" style="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s="17" t="s">
        <v>4</v>
      </c>
      <c r="F1" s="17" t="s">
        <v>5</v>
      </c>
      <c r="G1" t="s">
        <v>6</v>
      </c>
      <c r="H1" s="18" t="s">
        <v>7</v>
      </c>
      <c r="I1" s="19" t="s">
        <v>8</v>
      </c>
      <c r="J1" s="19" t="s">
        <v>9</v>
      </c>
      <c r="K1" s="9" t="s">
        <v>10</v>
      </c>
      <c r="M1"/>
    </row>
    <row r="2" spans="1:13">
      <c r="A2" s="9" t="s">
        <v>11</v>
      </c>
      <c r="B2" s="9" t="s">
        <v>12</v>
      </c>
      <c r="C2" s="9" t="s">
        <v>13</v>
      </c>
      <c r="D2" s="20" t="str">
        <f t="shared" ref="D2:D65" si="0">TEXT(E2,"mmmm")</f>
        <v>June</v>
      </c>
      <c r="E2" s="21">
        <v>45456</v>
      </c>
      <c r="F2" s="22">
        <f>WEEKDAY(E2,1)</f>
        <v>5</v>
      </c>
      <c r="G2" s="23">
        <f ca="1" t="shared" ref="G2:G11" si="1">TODAY()</f>
        <v>45939</v>
      </c>
      <c r="H2" s="24">
        <v>3</v>
      </c>
      <c r="I2" s="25">
        <v>1448</v>
      </c>
      <c r="J2" s="26">
        <v>4344</v>
      </c>
      <c r="K2" s="27">
        <f t="shared" ref="K2:K65" si="2">J2/H2</f>
        <v>1448</v>
      </c>
      <c r="M2"/>
    </row>
    <row r="3" spans="1:13">
      <c r="A3" s="9" t="s">
        <v>14</v>
      </c>
      <c r="B3" s="9" t="s">
        <v>15</v>
      </c>
      <c r="C3" s="9" t="s">
        <v>13</v>
      </c>
      <c r="D3" s="20" t="str">
        <f t="shared" si="0"/>
        <v>January</v>
      </c>
      <c r="E3" s="21">
        <v>45294</v>
      </c>
      <c r="F3" s="22">
        <f t="shared" ref="F3:F66" si="3">WEEKDAY(E3,1)</f>
        <v>4</v>
      </c>
      <c r="G3" s="23">
        <f ca="1" t="shared" si="1"/>
        <v>45939</v>
      </c>
      <c r="H3" s="24">
        <v>2</v>
      </c>
      <c r="I3" s="25">
        <v>1266</v>
      </c>
      <c r="J3" s="26">
        <v>2532</v>
      </c>
      <c r="K3" s="27">
        <f t="shared" si="2"/>
        <v>1266</v>
      </c>
      <c r="M3"/>
    </row>
    <row r="4" spans="1:13">
      <c r="A4" s="9" t="s">
        <v>16</v>
      </c>
      <c r="B4" s="9" t="s">
        <v>15</v>
      </c>
      <c r="C4" s="9" t="s">
        <v>13</v>
      </c>
      <c r="D4" s="20" t="str">
        <f t="shared" si="0"/>
        <v>February</v>
      </c>
      <c r="E4" s="21">
        <v>45337</v>
      </c>
      <c r="F4" s="22">
        <f t="shared" si="3"/>
        <v>5</v>
      </c>
      <c r="G4" s="23">
        <f ca="1" t="shared" si="1"/>
        <v>45939</v>
      </c>
      <c r="H4" s="24">
        <v>10</v>
      </c>
      <c r="I4" s="25">
        <v>845</v>
      </c>
      <c r="J4" s="26">
        <v>8450</v>
      </c>
      <c r="K4" s="27">
        <f t="shared" si="2"/>
        <v>845</v>
      </c>
      <c r="M4"/>
    </row>
    <row r="5" spans="1:13">
      <c r="A5" s="9" t="s">
        <v>17</v>
      </c>
      <c r="B5" s="9" t="s">
        <v>18</v>
      </c>
      <c r="C5" s="9" t="s">
        <v>13</v>
      </c>
      <c r="D5" s="20" t="str">
        <f t="shared" si="0"/>
        <v>April</v>
      </c>
      <c r="E5" s="21">
        <v>45388</v>
      </c>
      <c r="F5" s="22">
        <f t="shared" si="3"/>
        <v>7</v>
      </c>
      <c r="G5" s="23">
        <f ca="1" t="shared" si="1"/>
        <v>45939</v>
      </c>
      <c r="H5" s="24">
        <v>1</v>
      </c>
      <c r="I5" s="25">
        <v>769</v>
      </c>
      <c r="J5" s="26">
        <v>769</v>
      </c>
      <c r="K5" s="27">
        <f t="shared" si="2"/>
        <v>769</v>
      </c>
      <c r="M5"/>
    </row>
    <row r="6" spans="1:13">
      <c r="A6" s="9" t="s">
        <v>19</v>
      </c>
      <c r="B6" s="9" t="s">
        <v>18</v>
      </c>
      <c r="C6" s="9" t="s">
        <v>13</v>
      </c>
      <c r="D6" s="20" t="str">
        <f t="shared" si="0"/>
        <v>January</v>
      </c>
      <c r="E6" s="21">
        <v>45297</v>
      </c>
      <c r="F6" s="22">
        <f t="shared" si="3"/>
        <v>7</v>
      </c>
      <c r="G6" s="23">
        <f ca="1" t="shared" si="1"/>
        <v>45939</v>
      </c>
      <c r="H6" s="24">
        <v>7</v>
      </c>
      <c r="I6" s="25">
        <v>706</v>
      </c>
      <c r="J6" s="26">
        <v>4942</v>
      </c>
      <c r="K6" s="27">
        <f t="shared" si="2"/>
        <v>706</v>
      </c>
      <c r="M6"/>
    </row>
    <row r="7" spans="1:13">
      <c r="A7" s="9" t="s">
        <v>17</v>
      </c>
      <c r="B7" s="9" t="s">
        <v>20</v>
      </c>
      <c r="C7" s="9" t="s">
        <v>21</v>
      </c>
      <c r="D7" s="20" t="str">
        <f t="shared" si="0"/>
        <v>February</v>
      </c>
      <c r="E7" s="21">
        <v>45331</v>
      </c>
      <c r="F7" s="22">
        <f t="shared" si="3"/>
        <v>6</v>
      </c>
      <c r="G7" s="23">
        <f ca="1" t="shared" si="1"/>
        <v>45939</v>
      </c>
      <c r="H7" s="24">
        <v>5</v>
      </c>
      <c r="I7" s="25">
        <v>586</v>
      </c>
      <c r="J7" s="26">
        <v>2930</v>
      </c>
      <c r="K7" s="27">
        <f t="shared" si="2"/>
        <v>586</v>
      </c>
      <c r="M7"/>
    </row>
    <row r="8" spans="1:13">
      <c r="A8" s="9" t="s">
        <v>22</v>
      </c>
      <c r="B8" s="9" t="s">
        <v>23</v>
      </c>
      <c r="C8" s="9" t="s">
        <v>24</v>
      </c>
      <c r="D8" s="20" t="str">
        <f t="shared" si="0"/>
        <v>March</v>
      </c>
      <c r="E8" s="21">
        <v>45370</v>
      </c>
      <c r="F8" s="22">
        <f t="shared" si="3"/>
        <v>3</v>
      </c>
      <c r="G8" s="23">
        <f ca="1" t="shared" si="1"/>
        <v>45939</v>
      </c>
      <c r="H8" s="24">
        <v>6</v>
      </c>
      <c r="I8" s="25">
        <v>526</v>
      </c>
      <c r="J8" s="26">
        <v>3156</v>
      </c>
      <c r="K8" s="27">
        <f t="shared" si="2"/>
        <v>526</v>
      </c>
      <c r="M8"/>
    </row>
    <row r="9" spans="1:13">
      <c r="A9" s="9" t="s">
        <v>25</v>
      </c>
      <c r="B9" s="9" t="s">
        <v>26</v>
      </c>
      <c r="C9" s="9" t="s">
        <v>21</v>
      </c>
      <c r="D9" s="20" t="str">
        <f t="shared" si="0"/>
        <v>February</v>
      </c>
      <c r="E9" s="21">
        <v>45329</v>
      </c>
      <c r="F9" s="22">
        <f t="shared" si="3"/>
        <v>4</v>
      </c>
      <c r="G9" s="23">
        <f ca="1" t="shared" si="1"/>
        <v>45939</v>
      </c>
      <c r="H9" s="24">
        <v>6</v>
      </c>
      <c r="I9" s="25">
        <v>1465</v>
      </c>
      <c r="J9" s="26">
        <v>8790</v>
      </c>
      <c r="K9" s="27">
        <f t="shared" si="2"/>
        <v>1465</v>
      </c>
      <c r="M9"/>
    </row>
    <row r="10" spans="1:13">
      <c r="A10" s="9" t="s">
        <v>14</v>
      </c>
      <c r="B10" s="9" t="s">
        <v>18</v>
      </c>
      <c r="C10" s="9" t="s">
        <v>27</v>
      </c>
      <c r="D10" s="20" t="str">
        <f t="shared" si="0"/>
        <v>June</v>
      </c>
      <c r="E10" s="21">
        <v>45466</v>
      </c>
      <c r="F10" s="22">
        <f t="shared" si="3"/>
        <v>1</v>
      </c>
      <c r="G10" s="23">
        <f ca="1" t="shared" si="1"/>
        <v>45939</v>
      </c>
      <c r="H10" s="24">
        <v>4</v>
      </c>
      <c r="I10" s="25">
        <v>369</v>
      </c>
      <c r="J10" s="26">
        <v>1476</v>
      </c>
      <c r="K10" s="27">
        <f t="shared" si="2"/>
        <v>369</v>
      </c>
      <c r="M10"/>
    </row>
    <row r="11" spans="1:13">
      <c r="A11" s="9" t="s">
        <v>19</v>
      </c>
      <c r="B11" s="9" t="s">
        <v>28</v>
      </c>
      <c r="C11" s="9" t="s">
        <v>27</v>
      </c>
      <c r="D11" s="20" t="str">
        <f t="shared" si="0"/>
        <v>June</v>
      </c>
      <c r="E11" s="21">
        <v>45457</v>
      </c>
      <c r="F11" s="22">
        <f t="shared" si="3"/>
        <v>6</v>
      </c>
      <c r="G11" s="23">
        <f ca="1" t="shared" si="1"/>
        <v>45939</v>
      </c>
      <c r="H11" s="24">
        <v>5</v>
      </c>
      <c r="I11" s="25">
        <v>1492</v>
      </c>
      <c r="J11" s="26">
        <v>7460</v>
      </c>
      <c r="K11" s="27">
        <f t="shared" si="2"/>
        <v>1492</v>
      </c>
      <c r="M11"/>
    </row>
    <row r="12" spans="1:13">
      <c r="A12" s="9" t="s">
        <v>14</v>
      </c>
      <c r="B12" s="9" t="s">
        <v>28</v>
      </c>
      <c r="C12" s="9" t="s">
        <v>24</v>
      </c>
      <c r="D12" s="20" t="str">
        <f t="shared" si="0"/>
        <v>May</v>
      </c>
      <c r="E12" s="21">
        <v>45432</v>
      </c>
      <c r="F12" s="22">
        <f t="shared" si="3"/>
        <v>2</v>
      </c>
      <c r="G12" s="23">
        <f ca="1" t="shared" ref="G12:G21" si="4">TODAY()</f>
        <v>45939</v>
      </c>
      <c r="H12" s="24">
        <v>7</v>
      </c>
      <c r="I12" s="25">
        <v>755</v>
      </c>
      <c r="J12" s="26">
        <v>5285</v>
      </c>
      <c r="K12" s="27">
        <f t="shared" si="2"/>
        <v>755</v>
      </c>
      <c r="M12"/>
    </row>
    <row r="13" spans="1:13">
      <c r="A13" s="9" t="s">
        <v>19</v>
      </c>
      <c r="B13" s="9" t="s">
        <v>12</v>
      </c>
      <c r="C13" s="9" t="s">
        <v>21</v>
      </c>
      <c r="D13" s="20" t="str">
        <f t="shared" si="0"/>
        <v>January</v>
      </c>
      <c r="E13" s="21">
        <v>45310</v>
      </c>
      <c r="F13" s="22">
        <f t="shared" si="3"/>
        <v>6</v>
      </c>
      <c r="G13" s="23">
        <f ca="1" t="shared" si="4"/>
        <v>45939</v>
      </c>
      <c r="H13" s="24">
        <v>3</v>
      </c>
      <c r="I13" s="25">
        <v>1127</v>
      </c>
      <c r="J13" s="26">
        <v>3381</v>
      </c>
      <c r="K13" s="27">
        <f t="shared" si="2"/>
        <v>1127</v>
      </c>
      <c r="M13"/>
    </row>
    <row r="14" spans="1:13">
      <c r="A14" s="9" t="s">
        <v>14</v>
      </c>
      <c r="B14" s="9" t="s">
        <v>28</v>
      </c>
      <c r="C14" s="9" t="s">
        <v>21</v>
      </c>
      <c r="D14" s="20" t="str">
        <f t="shared" si="0"/>
        <v>January</v>
      </c>
      <c r="E14" s="21">
        <v>45322</v>
      </c>
      <c r="F14" s="22">
        <f t="shared" si="3"/>
        <v>4</v>
      </c>
      <c r="G14" s="23">
        <f ca="1" t="shared" si="4"/>
        <v>45939</v>
      </c>
      <c r="H14" s="24">
        <v>1</v>
      </c>
      <c r="I14" s="25">
        <v>1033</v>
      </c>
      <c r="J14" s="26">
        <v>1033</v>
      </c>
      <c r="K14" s="27">
        <f t="shared" si="2"/>
        <v>1033</v>
      </c>
      <c r="M14"/>
    </row>
    <row r="15" spans="1:13">
      <c r="A15" s="9" t="s">
        <v>19</v>
      </c>
      <c r="B15" s="9" t="s">
        <v>29</v>
      </c>
      <c r="C15" s="9" t="s">
        <v>21</v>
      </c>
      <c r="D15" s="20" t="str">
        <f t="shared" si="0"/>
        <v>May</v>
      </c>
      <c r="E15" s="21">
        <v>45415</v>
      </c>
      <c r="F15" s="22">
        <f t="shared" si="3"/>
        <v>6</v>
      </c>
      <c r="G15" s="23">
        <f ca="1" t="shared" si="4"/>
        <v>45939</v>
      </c>
      <c r="H15" s="24">
        <v>6</v>
      </c>
      <c r="I15" s="25">
        <v>642</v>
      </c>
      <c r="J15" s="26">
        <v>3852</v>
      </c>
      <c r="K15" s="27">
        <f t="shared" si="2"/>
        <v>642</v>
      </c>
      <c r="M15"/>
    </row>
    <row r="16" spans="1:13">
      <c r="A16" s="9" t="s">
        <v>30</v>
      </c>
      <c r="B16" s="9" t="s">
        <v>12</v>
      </c>
      <c r="C16" s="9" t="s">
        <v>21</v>
      </c>
      <c r="D16" s="20" t="str">
        <f t="shared" si="0"/>
        <v>March</v>
      </c>
      <c r="E16" s="21">
        <v>45364</v>
      </c>
      <c r="F16" s="22">
        <f t="shared" si="3"/>
        <v>4</v>
      </c>
      <c r="G16" s="23">
        <f ca="1" t="shared" si="4"/>
        <v>45939</v>
      </c>
      <c r="H16" s="24">
        <v>4</v>
      </c>
      <c r="I16" s="25">
        <v>665</v>
      </c>
      <c r="J16" s="26">
        <v>2660</v>
      </c>
      <c r="K16" s="27">
        <f t="shared" si="2"/>
        <v>665</v>
      </c>
      <c r="M16"/>
    </row>
    <row r="17" spans="1:13">
      <c r="A17" s="9" t="s">
        <v>31</v>
      </c>
      <c r="B17" s="9" t="s">
        <v>18</v>
      </c>
      <c r="C17" s="9" t="s">
        <v>24</v>
      </c>
      <c r="D17" s="20" t="str">
        <f t="shared" si="0"/>
        <v>June</v>
      </c>
      <c r="E17" s="21">
        <v>45447</v>
      </c>
      <c r="F17" s="22">
        <f t="shared" si="3"/>
        <v>3</v>
      </c>
      <c r="G17" s="23">
        <f ca="1" t="shared" si="4"/>
        <v>45939</v>
      </c>
      <c r="H17" s="24">
        <v>5</v>
      </c>
      <c r="I17" s="25">
        <v>983</v>
      </c>
      <c r="J17" s="26">
        <v>4915</v>
      </c>
      <c r="K17" s="27">
        <f t="shared" si="2"/>
        <v>983</v>
      </c>
      <c r="M17"/>
    </row>
    <row r="18" spans="1:13">
      <c r="A18" s="9" t="s">
        <v>30</v>
      </c>
      <c r="B18" s="9" t="s">
        <v>20</v>
      </c>
      <c r="C18" s="9" t="s">
        <v>24</v>
      </c>
      <c r="D18" s="20" t="str">
        <f t="shared" si="0"/>
        <v>April</v>
      </c>
      <c r="E18" s="21">
        <v>45384</v>
      </c>
      <c r="F18" s="22">
        <f t="shared" si="3"/>
        <v>3</v>
      </c>
      <c r="G18" s="23">
        <f ca="1" t="shared" si="4"/>
        <v>45939</v>
      </c>
      <c r="H18" s="24">
        <v>4</v>
      </c>
      <c r="I18" s="25">
        <v>663</v>
      </c>
      <c r="J18" s="26">
        <v>2652</v>
      </c>
      <c r="K18" s="27">
        <f t="shared" si="2"/>
        <v>663</v>
      </c>
      <c r="M18"/>
    </row>
    <row r="19" spans="1:13">
      <c r="A19" s="9" t="s">
        <v>31</v>
      </c>
      <c r="B19" s="9" t="s">
        <v>15</v>
      </c>
      <c r="C19" s="9" t="s">
        <v>21</v>
      </c>
      <c r="D19" s="20" t="str">
        <f t="shared" si="0"/>
        <v>March</v>
      </c>
      <c r="E19" s="21">
        <v>45357</v>
      </c>
      <c r="F19" s="22">
        <f t="shared" si="3"/>
        <v>4</v>
      </c>
      <c r="G19" s="23">
        <f ca="1" t="shared" si="4"/>
        <v>45939</v>
      </c>
      <c r="H19" s="24">
        <v>10</v>
      </c>
      <c r="I19" s="25">
        <v>477</v>
      </c>
      <c r="J19" s="26">
        <v>4770</v>
      </c>
      <c r="K19" s="27">
        <f t="shared" si="2"/>
        <v>477</v>
      </c>
      <c r="M19"/>
    </row>
    <row r="20" spans="1:13">
      <c r="A20" s="9" t="s">
        <v>17</v>
      </c>
      <c r="B20" s="9" t="s">
        <v>12</v>
      </c>
      <c r="C20" s="9" t="s">
        <v>24</v>
      </c>
      <c r="D20" s="20" t="str">
        <f t="shared" si="0"/>
        <v>March</v>
      </c>
      <c r="E20" s="21">
        <v>45382</v>
      </c>
      <c r="F20" s="22">
        <f t="shared" si="3"/>
        <v>1</v>
      </c>
      <c r="G20" s="23">
        <f ca="1" t="shared" si="4"/>
        <v>45939</v>
      </c>
      <c r="H20" s="24">
        <v>6</v>
      </c>
      <c r="I20" s="25">
        <v>740</v>
      </c>
      <c r="J20" s="26">
        <v>4440</v>
      </c>
      <c r="K20" s="27">
        <f t="shared" si="2"/>
        <v>740</v>
      </c>
      <c r="M20"/>
    </row>
    <row r="21" spans="1:13">
      <c r="A21" s="9" t="s">
        <v>14</v>
      </c>
      <c r="B21" s="9" t="s">
        <v>15</v>
      </c>
      <c r="C21" s="9" t="s">
        <v>27</v>
      </c>
      <c r="D21" s="20" t="str">
        <f t="shared" si="0"/>
        <v>June</v>
      </c>
      <c r="E21" s="21">
        <v>45449</v>
      </c>
      <c r="F21" s="22">
        <f t="shared" si="3"/>
        <v>5</v>
      </c>
      <c r="G21" s="23">
        <f ca="1" t="shared" si="4"/>
        <v>45939</v>
      </c>
      <c r="H21" s="24">
        <v>5</v>
      </c>
      <c r="I21" s="25">
        <v>479</v>
      </c>
      <c r="J21" s="26">
        <v>2395</v>
      </c>
      <c r="K21" s="27">
        <f t="shared" si="2"/>
        <v>479</v>
      </c>
      <c r="M21"/>
    </row>
    <row r="22" spans="1:13">
      <c r="A22" s="9" t="s">
        <v>31</v>
      </c>
      <c r="B22" s="9" t="s">
        <v>20</v>
      </c>
      <c r="C22" s="9" t="s">
        <v>24</v>
      </c>
      <c r="D22" s="20" t="str">
        <f t="shared" si="0"/>
        <v>March</v>
      </c>
      <c r="E22" s="21">
        <v>45360</v>
      </c>
      <c r="F22" s="22">
        <f t="shared" si="3"/>
        <v>7</v>
      </c>
      <c r="G22" s="23">
        <f ca="1" t="shared" ref="G22:G31" si="5">TODAY()</f>
        <v>45939</v>
      </c>
      <c r="H22" s="24">
        <v>1</v>
      </c>
      <c r="I22" s="25">
        <v>1017</v>
      </c>
      <c r="J22" s="26">
        <v>1017</v>
      </c>
      <c r="K22" s="27">
        <f t="shared" si="2"/>
        <v>1017</v>
      </c>
      <c r="M22"/>
    </row>
    <row r="23" spans="1:13">
      <c r="A23" s="9" t="s">
        <v>31</v>
      </c>
      <c r="B23" s="9" t="s">
        <v>23</v>
      </c>
      <c r="C23" s="9" t="s">
        <v>24</v>
      </c>
      <c r="D23" s="20" t="str">
        <f t="shared" si="0"/>
        <v>January</v>
      </c>
      <c r="E23" s="21">
        <v>45298</v>
      </c>
      <c r="F23" s="22">
        <f t="shared" si="3"/>
        <v>1</v>
      </c>
      <c r="G23" s="23">
        <f ca="1" t="shared" si="5"/>
        <v>45939</v>
      </c>
      <c r="H23" s="24">
        <v>8</v>
      </c>
      <c r="I23" s="25">
        <v>1114</v>
      </c>
      <c r="J23" s="26">
        <v>8912</v>
      </c>
      <c r="K23" s="27">
        <f t="shared" si="2"/>
        <v>1114</v>
      </c>
      <c r="M23"/>
    </row>
    <row r="24" spans="1:13">
      <c r="A24" s="9" t="s">
        <v>17</v>
      </c>
      <c r="B24" s="9" t="s">
        <v>32</v>
      </c>
      <c r="C24" s="9" t="s">
        <v>27</v>
      </c>
      <c r="D24" s="20" t="str">
        <f t="shared" si="0"/>
        <v>May</v>
      </c>
      <c r="E24" s="21">
        <v>45423</v>
      </c>
      <c r="F24" s="22">
        <f t="shared" si="3"/>
        <v>7</v>
      </c>
      <c r="G24" s="23">
        <f ca="1" t="shared" si="5"/>
        <v>45939</v>
      </c>
      <c r="H24" s="24">
        <v>9</v>
      </c>
      <c r="I24" s="25">
        <v>1125</v>
      </c>
      <c r="J24" s="26">
        <v>10125</v>
      </c>
      <c r="K24" s="27">
        <f t="shared" si="2"/>
        <v>1125</v>
      </c>
      <c r="M24"/>
    </row>
    <row r="25" spans="1:13">
      <c r="A25" s="9" t="s">
        <v>19</v>
      </c>
      <c r="B25" s="9" t="s">
        <v>15</v>
      </c>
      <c r="C25" s="9" t="s">
        <v>13</v>
      </c>
      <c r="D25" s="20" t="str">
        <f t="shared" si="0"/>
        <v>May</v>
      </c>
      <c r="E25" s="21">
        <v>45441</v>
      </c>
      <c r="F25" s="22">
        <f t="shared" si="3"/>
        <v>4</v>
      </c>
      <c r="G25" s="23">
        <f ca="1" t="shared" si="5"/>
        <v>45939</v>
      </c>
      <c r="H25" s="24">
        <v>5</v>
      </c>
      <c r="I25" s="25">
        <v>1374</v>
      </c>
      <c r="J25" s="26">
        <v>6870</v>
      </c>
      <c r="K25" s="27">
        <f t="shared" si="2"/>
        <v>1374</v>
      </c>
      <c r="M25"/>
    </row>
    <row r="26" spans="1:13">
      <c r="A26" s="9" t="s">
        <v>16</v>
      </c>
      <c r="B26" s="9" t="s">
        <v>23</v>
      </c>
      <c r="C26" s="9" t="s">
        <v>27</v>
      </c>
      <c r="D26" s="20" t="str">
        <f t="shared" si="0"/>
        <v>February</v>
      </c>
      <c r="E26" s="21">
        <v>45329</v>
      </c>
      <c r="F26" s="22">
        <f t="shared" si="3"/>
        <v>4</v>
      </c>
      <c r="G26" s="23">
        <f ca="1" t="shared" si="5"/>
        <v>45939</v>
      </c>
      <c r="H26" s="24">
        <v>5</v>
      </c>
      <c r="I26" s="25">
        <v>1362</v>
      </c>
      <c r="J26" s="26">
        <v>6810</v>
      </c>
      <c r="K26" s="27">
        <f t="shared" si="2"/>
        <v>1362</v>
      </c>
      <c r="M26"/>
    </row>
    <row r="27" spans="1:13">
      <c r="A27" s="9" t="s">
        <v>25</v>
      </c>
      <c r="B27" s="9" t="s">
        <v>20</v>
      </c>
      <c r="C27" s="9" t="s">
        <v>13</v>
      </c>
      <c r="D27" s="20" t="str">
        <f t="shared" si="0"/>
        <v>May</v>
      </c>
      <c r="E27" s="21">
        <v>45419</v>
      </c>
      <c r="F27" s="22">
        <f t="shared" si="3"/>
        <v>3</v>
      </c>
      <c r="G27" s="23">
        <f ca="1" t="shared" si="5"/>
        <v>45939</v>
      </c>
      <c r="H27" s="24">
        <v>4</v>
      </c>
      <c r="I27" s="25">
        <v>1039</v>
      </c>
      <c r="J27" s="26">
        <v>4156</v>
      </c>
      <c r="K27" s="27">
        <f t="shared" si="2"/>
        <v>1039</v>
      </c>
      <c r="M27"/>
    </row>
    <row r="28" spans="1:13">
      <c r="A28" s="9" t="s">
        <v>14</v>
      </c>
      <c r="B28" s="9" t="s">
        <v>12</v>
      </c>
      <c r="C28" s="9" t="s">
        <v>27</v>
      </c>
      <c r="D28" s="20" t="str">
        <f t="shared" si="0"/>
        <v>February</v>
      </c>
      <c r="E28" s="21">
        <v>45342</v>
      </c>
      <c r="F28" s="22">
        <f t="shared" si="3"/>
        <v>3</v>
      </c>
      <c r="G28" s="23">
        <f ca="1" t="shared" si="5"/>
        <v>45939</v>
      </c>
      <c r="H28" s="24">
        <v>1</v>
      </c>
      <c r="I28" s="25">
        <v>636</v>
      </c>
      <c r="J28" s="26">
        <v>636</v>
      </c>
      <c r="K28" s="27">
        <f t="shared" si="2"/>
        <v>636</v>
      </c>
      <c r="M28"/>
    </row>
    <row r="29" spans="1:13">
      <c r="A29" s="9" t="s">
        <v>17</v>
      </c>
      <c r="B29" s="9" t="s">
        <v>18</v>
      </c>
      <c r="C29" s="9" t="s">
        <v>27</v>
      </c>
      <c r="D29" s="20" t="str">
        <f t="shared" si="0"/>
        <v>June</v>
      </c>
      <c r="E29" s="21">
        <v>45469</v>
      </c>
      <c r="F29" s="22">
        <f t="shared" si="3"/>
        <v>4</v>
      </c>
      <c r="G29" s="23">
        <f ca="1" t="shared" si="5"/>
        <v>45939</v>
      </c>
      <c r="H29" s="24">
        <v>9</v>
      </c>
      <c r="I29" s="25">
        <v>1099</v>
      </c>
      <c r="J29" s="26">
        <v>9891</v>
      </c>
      <c r="K29" s="27">
        <f t="shared" si="2"/>
        <v>1099</v>
      </c>
      <c r="M29"/>
    </row>
    <row r="30" spans="1:13">
      <c r="A30" s="9" t="s">
        <v>25</v>
      </c>
      <c r="B30" s="9" t="s">
        <v>15</v>
      </c>
      <c r="C30" s="9" t="s">
        <v>21</v>
      </c>
      <c r="D30" s="20" t="str">
        <f t="shared" si="0"/>
        <v>April</v>
      </c>
      <c r="E30" s="21">
        <v>45387</v>
      </c>
      <c r="F30" s="22">
        <f t="shared" si="3"/>
        <v>6</v>
      </c>
      <c r="G30" s="23">
        <f ca="1" t="shared" si="5"/>
        <v>45939</v>
      </c>
      <c r="H30" s="24">
        <v>7</v>
      </c>
      <c r="I30" s="25">
        <v>1083</v>
      </c>
      <c r="J30" s="26">
        <v>7581</v>
      </c>
      <c r="K30" s="27">
        <f t="shared" si="2"/>
        <v>1083</v>
      </c>
      <c r="M30"/>
    </row>
    <row r="31" spans="1:13">
      <c r="A31" s="9" t="s">
        <v>30</v>
      </c>
      <c r="B31" s="9" t="s">
        <v>26</v>
      </c>
      <c r="C31" s="9" t="s">
        <v>21</v>
      </c>
      <c r="D31" s="20" t="str">
        <f t="shared" si="0"/>
        <v>March</v>
      </c>
      <c r="E31" s="21">
        <v>45366</v>
      </c>
      <c r="F31" s="22">
        <f t="shared" si="3"/>
        <v>6</v>
      </c>
      <c r="G31" s="23">
        <f ca="1" t="shared" si="5"/>
        <v>45939</v>
      </c>
      <c r="H31" s="24">
        <v>2</v>
      </c>
      <c r="I31" s="25">
        <v>760</v>
      </c>
      <c r="J31" s="26">
        <v>1520</v>
      </c>
      <c r="K31" s="27">
        <f t="shared" si="2"/>
        <v>760</v>
      </c>
      <c r="M31"/>
    </row>
    <row r="32" spans="1:13">
      <c r="A32" s="9" t="s">
        <v>33</v>
      </c>
      <c r="B32" s="9" t="s">
        <v>12</v>
      </c>
      <c r="C32" s="9" t="s">
        <v>24</v>
      </c>
      <c r="D32" s="20" t="str">
        <f t="shared" si="0"/>
        <v>March</v>
      </c>
      <c r="E32" s="21">
        <v>45353</v>
      </c>
      <c r="F32" s="22">
        <f t="shared" si="3"/>
        <v>7</v>
      </c>
      <c r="G32" s="23">
        <f ca="1" t="shared" ref="G32:G41" si="6">TODAY()</f>
        <v>45939</v>
      </c>
      <c r="H32" s="24">
        <v>6</v>
      </c>
      <c r="I32" s="25">
        <v>559</v>
      </c>
      <c r="J32" s="26">
        <v>3354</v>
      </c>
      <c r="K32" s="27">
        <f t="shared" si="2"/>
        <v>559</v>
      </c>
      <c r="M32"/>
    </row>
    <row r="33" spans="1:13">
      <c r="A33" s="9" t="s">
        <v>19</v>
      </c>
      <c r="B33" s="9" t="s">
        <v>18</v>
      </c>
      <c r="C33" s="9" t="s">
        <v>27</v>
      </c>
      <c r="D33" s="20" t="str">
        <f t="shared" si="0"/>
        <v>June</v>
      </c>
      <c r="E33" s="21">
        <v>45471</v>
      </c>
      <c r="F33" s="22">
        <f t="shared" si="3"/>
        <v>6</v>
      </c>
      <c r="G33" s="23">
        <f ca="1" t="shared" si="6"/>
        <v>45939</v>
      </c>
      <c r="H33" s="24">
        <v>4</v>
      </c>
      <c r="I33" s="25">
        <v>365</v>
      </c>
      <c r="J33" s="26">
        <v>1460</v>
      </c>
      <c r="K33" s="27">
        <f t="shared" si="2"/>
        <v>365</v>
      </c>
      <c r="M33"/>
    </row>
    <row r="34" spans="1:13">
      <c r="A34" s="9" t="s">
        <v>19</v>
      </c>
      <c r="B34" s="9" t="s">
        <v>28</v>
      </c>
      <c r="C34" s="9" t="s">
        <v>24</v>
      </c>
      <c r="D34" s="20" t="str">
        <f t="shared" si="0"/>
        <v>June</v>
      </c>
      <c r="E34" s="21">
        <v>45467</v>
      </c>
      <c r="F34" s="22">
        <f t="shared" si="3"/>
        <v>2</v>
      </c>
      <c r="G34" s="23">
        <f ca="1" t="shared" si="6"/>
        <v>45939</v>
      </c>
      <c r="H34" s="24">
        <v>8</v>
      </c>
      <c r="I34" s="25">
        <v>449</v>
      </c>
      <c r="J34" s="26">
        <v>3592</v>
      </c>
      <c r="K34" s="27">
        <f t="shared" si="2"/>
        <v>449</v>
      </c>
      <c r="M34"/>
    </row>
    <row r="35" spans="1:13">
      <c r="A35" s="9" t="s">
        <v>22</v>
      </c>
      <c r="B35" s="9" t="s">
        <v>26</v>
      </c>
      <c r="C35" s="9" t="s">
        <v>21</v>
      </c>
      <c r="D35" s="20" t="str">
        <f t="shared" si="0"/>
        <v>May</v>
      </c>
      <c r="E35" s="21">
        <v>45421</v>
      </c>
      <c r="F35" s="22">
        <f t="shared" si="3"/>
        <v>5</v>
      </c>
      <c r="G35" s="23">
        <f ca="1" t="shared" si="6"/>
        <v>45939</v>
      </c>
      <c r="H35" s="24">
        <v>5</v>
      </c>
      <c r="I35" s="25">
        <v>407</v>
      </c>
      <c r="J35" s="26">
        <v>2035</v>
      </c>
      <c r="K35" s="27">
        <f t="shared" si="2"/>
        <v>407</v>
      </c>
      <c r="M35"/>
    </row>
    <row r="36" spans="1:13">
      <c r="A36" s="9" t="s">
        <v>22</v>
      </c>
      <c r="B36" s="9" t="s">
        <v>12</v>
      </c>
      <c r="C36" s="9" t="s">
        <v>27</v>
      </c>
      <c r="D36" s="20" t="str">
        <f t="shared" si="0"/>
        <v>May</v>
      </c>
      <c r="E36" s="21">
        <v>45413</v>
      </c>
      <c r="F36" s="22">
        <f t="shared" si="3"/>
        <v>4</v>
      </c>
      <c r="G36" s="23">
        <f ca="1" t="shared" si="6"/>
        <v>45939</v>
      </c>
      <c r="H36" s="24">
        <v>2</v>
      </c>
      <c r="I36" s="25">
        <v>1462</v>
      </c>
      <c r="J36" s="26">
        <v>2924</v>
      </c>
      <c r="K36" s="27">
        <f t="shared" si="2"/>
        <v>1462</v>
      </c>
      <c r="M36"/>
    </row>
    <row r="37" spans="1:13">
      <c r="A37" s="9" t="s">
        <v>31</v>
      </c>
      <c r="B37" s="9" t="s">
        <v>32</v>
      </c>
      <c r="C37" s="9" t="s">
        <v>13</v>
      </c>
      <c r="D37" s="20" t="str">
        <f t="shared" si="0"/>
        <v>February</v>
      </c>
      <c r="E37" s="21">
        <v>45337</v>
      </c>
      <c r="F37" s="22">
        <f t="shared" si="3"/>
        <v>5</v>
      </c>
      <c r="G37" s="23">
        <f ca="1" t="shared" si="6"/>
        <v>45939</v>
      </c>
      <c r="H37" s="24">
        <v>10</v>
      </c>
      <c r="I37" s="25">
        <v>766</v>
      </c>
      <c r="J37" s="26">
        <v>7660</v>
      </c>
      <c r="K37" s="27">
        <f t="shared" si="2"/>
        <v>766</v>
      </c>
      <c r="M37"/>
    </row>
    <row r="38" spans="1:13">
      <c r="A38" s="9" t="s">
        <v>17</v>
      </c>
      <c r="B38" s="9" t="s">
        <v>26</v>
      </c>
      <c r="C38" s="9" t="s">
        <v>13</v>
      </c>
      <c r="D38" s="20" t="str">
        <f t="shared" si="0"/>
        <v>April</v>
      </c>
      <c r="E38" s="21">
        <v>45403</v>
      </c>
      <c r="F38" s="22">
        <f t="shared" si="3"/>
        <v>1</v>
      </c>
      <c r="G38" s="23">
        <f ca="1" t="shared" si="6"/>
        <v>45939</v>
      </c>
      <c r="H38" s="24">
        <v>1</v>
      </c>
      <c r="I38" s="25">
        <v>749</v>
      </c>
      <c r="J38" s="26">
        <v>749</v>
      </c>
      <c r="K38" s="27">
        <f t="shared" si="2"/>
        <v>749</v>
      </c>
      <c r="M38"/>
    </row>
    <row r="39" spans="1:13">
      <c r="A39" s="9" t="s">
        <v>30</v>
      </c>
      <c r="B39" s="9" t="s">
        <v>12</v>
      </c>
      <c r="C39" s="9" t="s">
        <v>21</v>
      </c>
      <c r="D39" s="20" t="str">
        <f t="shared" si="0"/>
        <v>May</v>
      </c>
      <c r="E39" s="21">
        <v>45414</v>
      </c>
      <c r="F39" s="22">
        <f t="shared" si="3"/>
        <v>5</v>
      </c>
      <c r="G39" s="23">
        <f ca="1" t="shared" si="6"/>
        <v>45939</v>
      </c>
      <c r="H39" s="24">
        <v>7</v>
      </c>
      <c r="I39" s="25">
        <v>362</v>
      </c>
      <c r="J39" s="26">
        <v>2534</v>
      </c>
      <c r="K39" s="27">
        <f t="shared" si="2"/>
        <v>362</v>
      </c>
      <c r="M39"/>
    </row>
    <row r="40" spans="1:13">
      <c r="A40" s="9" t="s">
        <v>22</v>
      </c>
      <c r="B40" s="9" t="s">
        <v>32</v>
      </c>
      <c r="C40" s="9" t="s">
        <v>27</v>
      </c>
      <c r="D40" s="20" t="str">
        <f t="shared" si="0"/>
        <v>May</v>
      </c>
      <c r="E40" s="21">
        <v>45420</v>
      </c>
      <c r="F40" s="22">
        <f t="shared" si="3"/>
        <v>4</v>
      </c>
      <c r="G40" s="23">
        <f ca="1" t="shared" si="6"/>
        <v>45939</v>
      </c>
      <c r="H40" s="24">
        <v>8</v>
      </c>
      <c r="I40" s="25">
        <v>1077</v>
      </c>
      <c r="J40" s="26">
        <v>8616</v>
      </c>
      <c r="K40" s="27">
        <f t="shared" si="2"/>
        <v>1077</v>
      </c>
      <c r="M40"/>
    </row>
    <row r="41" spans="1:13">
      <c r="A41" s="9" t="s">
        <v>31</v>
      </c>
      <c r="B41" s="9" t="s">
        <v>15</v>
      </c>
      <c r="C41" s="9" t="s">
        <v>24</v>
      </c>
      <c r="D41" s="20" t="str">
        <f t="shared" si="0"/>
        <v>March</v>
      </c>
      <c r="E41" s="21">
        <v>45375</v>
      </c>
      <c r="F41" s="22">
        <f t="shared" si="3"/>
        <v>1</v>
      </c>
      <c r="G41" s="23">
        <f ca="1" t="shared" si="6"/>
        <v>45939</v>
      </c>
      <c r="H41" s="24">
        <v>7</v>
      </c>
      <c r="I41" s="25">
        <v>1353</v>
      </c>
      <c r="J41" s="26">
        <v>9471</v>
      </c>
      <c r="K41" s="27">
        <f t="shared" si="2"/>
        <v>1353</v>
      </c>
      <c r="M41"/>
    </row>
    <row r="42" spans="1:13">
      <c r="A42" s="9" t="s">
        <v>14</v>
      </c>
      <c r="B42" s="9" t="s">
        <v>29</v>
      </c>
      <c r="C42" s="9" t="s">
        <v>27</v>
      </c>
      <c r="D42" s="20" t="str">
        <f t="shared" si="0"/>
        <v>March</v>
      </c>
      <c r="E42" s="21">
        <v>45365</v>
      </c>
      <c r="F42" s="22">
        <f t="shared" si="3"/>
        <v>5</v>
      </c>
      <c r="G42" s="23">
        <f ca="1" t="shared" ref="G42:G51" si="7">TODAY()</f>
        <v>45939</v>
      </c>
      <c r="H42" s="24">
        <v>4</v>
      </c>
      <c r="I42" s="25">
        <v>436</v>
      </c>
      <c r="J42" s="26">
        <v>1744</v>
      </c>
      <c r="K42" s="27">
        <f t="shared" si="2"/>
        <v>436</v>
      </c>
      <c r="M42"/>
    </row>
    <row r="43" spans="1:13">
      <c r="A43" s="9" t="s">
        <v>19</v>
      </c>
      <c r="B43" s="9" t="s">
        <v>23</v>
      </c>
      <c r="C43" s="9" t="s">
        <v>24</v>
      </c>
      <c r="D43" s="20" t="str">
        <f t="shared" si="0"/>
        <v>June</v>
      </c>
      <c r="E43" s="21">
        <v>45469</v>
      </c>
      <c r="F43" s="22">
        <f t="shared" si="3"/>
        <v>4</v>
      </c>
      <c r="G43" s="23">
        <f ca="1" t="shared" si="7"/>
        <v>45939</v>
      </c>
      <c r="H43" s="24">
        <v>2</v>
      </c>
      <c r="I43" s="25">
        <v>705</v>
      </c>
      <c r="J43" s="26">
        <v>1410</v>
      </c>
      <c r="K43" s="27">
        <f t="shared" si="2"/>
        <v>705</v>
      </c>
      <c r="M43"/>
    </row>
    <row r="44" spans="1:13">
      <c r="A44" s="9" t="s">
        <v>16</v>
      </c>
      <c r="B44" s="9" t="s">
        <v>34</v>
      </c>
      <c r="C44" s="9" t="s">
        <v>21</v>
      </c>
      <c r="D44" s="20" t="str">
        <f t="shared" si="0"/>
        <v>June</v>
      </c>
      <c r="E44" s="21">
        <v>45472</v>
      </c>
      <c r="F44" s="22">
        <f t="shared" si="3"/>
        <v>7</v>
      </c>
      <c r="G44" s="23">
        <f ca="1" t="shared" si="7"/>
        <v>45939</v>
      </c>
      <c r="H44" s="24">
        <v>10</v>
      </c>
      <c r="I44" s="25">
        <v>895</v>
      </c>
      <c r="J44" s="26">
        <v>8950</v>
      </c>
      <c r="K44" s="27">
        <f t="shared" si="2"/>
        <v>895</v>
      </c>
      <c r="M44"/>
    </row>
    <row r="45" spans="1:13">
      <c r="A45" s="9" t="s">
        <v>25</v>
      </c>
      <c r="B45" s="9" t="s">
        <v>23</v>
      </c>
      <c r="C45" s="9" t="s">
        <v>24</v>
      </c>
      <c r="D45" s="20" t="str">
        <f t="shared" si="0"/>
        <v>February</v>
      </c>
      <c r="E45" s="21">
        <v>45337</v>
      </c>
      <c r="F45" s="22">
        <f t="shared" si="3"/>
        <v>5</v>
      </c>
      <c r="G45" s="23">
        <f ca="1" t="shared" si="7"/>
        <v>45939</v>
      </c>
      <c r="H45" s="24">
        <v>6</v>
      </c>
      <c r="I45" s="25">
        <v>1130</v>
      </c>
      <c r="J45" s="26">
        <v>6780</v>
      </c>
      <c r="K45" s="27">
        <f t="shared" si="2"/>
        <v>1130</v>
      </c>
      <c r="M45"/>
    </row>
    <row r="46" spans="1:13">
      <c r="A46" s="9" t="s">
        <v>11</v>
      </c>
      <c r="B46" s="9" t="s">
        <v>18</v>
      </c>
      <c r="C46" s="9" t="s">
        <v>21</v>
      </c>
      <c r="D46" s="20" t="str">
        <f t="shared" si="0"/>
        <v>May</v>
      </c>
      <c r="E46" s="21">
        <v>45419</v>
      </c>
      <c r="F46" s="22">
        <f t="shared" si="3"/>
        <v>3</v>
      </c>
      <c r="G46" s="23">
        <f ca="1" t="shared" si="7"/>
        <v>45939</v>
      </c>
      <c r="H46" s="24">
        <v>6</v>
      </c>
      <c r="I46" s="25">
        <v>1023</v>
      </c>
      <c r="J46" s="26">
        <v>6138</v>
      </c>
      <c r="K46" s="27">
        <f t="shared" si="2"/>
        <v>1023</v>
      </c>
      <c r="M46"/>
    </row>
    <row r="47" spans="1:13">
      <c r="A47" s="9" t="s">
        <v>14</v>
      </c>
      <c r="B47" s="9" t="s">
        <v>18</v>
      </c>
      <c r="C47" s="9" t="s">
        <v>21</v>
      </c>
      <c r="D47" s="20" t="str">
        <f t="shared" si="0"/>
        <v>March</v>
      </c>
      <c r="E47" s="21">
        <v>45358</v>
      </c>
      <c r="F47" s="22">
        <f t="shared" si="3"/>
        <v>5</v>
      </c>
      <c r="G47" s="23">
        <f ca="1" t="shared" si="7"/>
        <v>45939</v>
      </c>
      <c r="H47" s="24">
        <v>6</v>
      </c>
      <c r="I47" s="25">
        <v>526</v>
      </c>
      <c r="J47" s="26">
        <v>3156</v>
      </c>
      <c r="K47" s="27">
        <f t="shared" si="2"/>
        <v>526</v>
      </c>
      <c r="M47"/>
    </row>
    <row r="48" spans="1:13">
      <c r="A48" s="9" t="s">
        <v>16</v>
      </c>
      <c r="B48" s="9" t="s">
        <v>23</v>
      </c>
      <c r="C48" s="9" t="s">
        <v>27</v>
      </c>
      <c r="D48" s="20" t="str">
        <f t="shared" si="0"/>
        <v>June</v>
      </c>
      <c r="E48" s="21">
        <v>45457</v>
      </c>
      <c r="F48" s="22">
        <f t="shared" si="3"/>
        <v>6</v>
      </c>
      <c r="G48" s="23">
        <f ca="1" t="shared" si="7"/>
        <v>45939</v>
      </c>
      <c r="H48" s="24">
        <v>8</v>
      </c>
      <c r="I48" s="25">
        <v>861</v>
      </c>
      <c r="J48" s="26">
        <v>6888</v>
      </c>
      <c r="K48" s="27">
        <f t="shared" si="2"/>
        <v>861</v>
      </c>
      <c r="M48"/>
    </row>
    <row r="49" spans="1:13">
      <c r="A49" s="9" t="s">
        <v>25</v>
      </c>
      <c r="B49" s="9" t="s">
        <v>20</v>
      </c>
      <c r="C49" s="9" t="s">
        <v>21</v>
      </c>
      <c r="D49" s="20" t="str">
        <f t="shared" si="0"/>
        <v>January</v>
      </c>
      <c r="E49" s="21">
        <v>45312</v>
      </c>
      <c r="F49" s="22">
        <f t="shared" si="3"/>
        <v>1</v>
      </c>
      <c r="G49" s="23">
        <f ca="1" t="shared" si="7"/>
        <v>45939</v>
      </c>
      <c r="H49" s="24">
        <v>1</v>
      </c>
      <c r="I49" s="25">
        <v>1046</v>
      </c>
      <c r="J49" s="26">
        <v>1046</v>
      </c>
      <c r="K49" s="27">
        <f t="shared" si="2"/>
        <v>1046</v>
      </c>
      <c r="M49"/>
    </row>
    <row r="50" spans="1:13">
      <c r="A50" s="9" t="s">
        <v>17</v>
      </c>
      <c r="B50" s="9" t="s">
        <v>18</v>
      </c>
      <c r="C50" s="9" t="s">
        <v>13</v>
      </c>
      <c r="D50" s="20" t="str">
        <f t="shared" si="0"/>
        <v>April</v>
      </c>
      <c r="E50" s="21">
        <v>45405</v>
      </c>
      <c r="F50" s="22">
        <f t="shared" si="3"/>
        <v>3</v>
      </c>
      <c r="G50" s="23">
        <f ca="1" t="shared" si="7"/>
        <v>45939</v>
      </c>
      <c r="H50" s="24">
        <v>10</v>
      </c>
      <c r="I50" s="25">
        <v>1429</v>
      </c>
      <c r="J50" s="26">
        <v>14290</v>
      </c>
      <c r="K50" s="27">
        <f t="shared" si="2"/>
        <v>1429</v>
      </c>
      <c r="M50"/>
    </row>
    <row r="51" spans="1:13">
      <c r="A51" s="9" t="s">
        <v>19</v>
      </c>
      <c r="B51" s="9" t="s">
        <v>26</v>
      </c>
      <c r="C51" s="9" t="s">
        <v>27</v>
      </c>
      <c r="D51" s="20" t="str">
        <f t="shared" si="0"/>
        <v>January</v>
      </c>
      <c r="E51" s="21">
        <v>45313</v>
      </c>
      <c r="F51" s="22">
        <f t="shared" si="3"/>
        <v>2</v>
      </c>
      <c r="G51" s="23">
        <f ca="1" t="shared" si="7"/>
        <v>45939</v>
      </c>
      <c r="H51" s="24">
        <v>2</v>
      </c>
      <c r="I51" s="25">
        <v>1126</v>
      </c>
      <c r="J51" s="26">
        <v>2252</v>
      </c>
      <c r="K51" s="27">
        <f t="shared" si="2"/>
        <v>1126</v>
      </c>
      <c r="M51"/>
    </row>
    <row r="52" spans="1:13">
      <c r="A52" s="9" t="s">
        <v>31</v>
      </c>
      <c r="B52" s="9" t="s">
        <v>34</v>
      </c>
      <c r="C52" s="9" t="s">
        <v>21</v>
      </c>
      <c r="D52" s="20" t="str">
        <f t="shared" si="0"/>
        <v>April</v>
      </c>
      <c r="E52" s="21">
        <v>45404</v>
      </c>
      <c r="F52" s="22">
        <f t="shared" si="3"/>
        <v>2</v>
      </c>
      <c r="G52" s="23">
        <f ca="1" t="shared" ref="G52:G61" si="8">TODAY()</f>
        <v>45939</v>
      </c>
      <c r="H52" s="24">
        <v>2</v>
      </c>
      <c r="I52" s="25">
        <v>676</v>
      </c>
      <c r="J52" s="26">
        <v>1352</v>
      </c>
      <c r="K52" s="27">
        <f t="shared" si="2"/>
        <v>676</v>
      </c>
      <c r="M52"/>
    </row>
    <row r="53" spans="1:13">
      <c r="A53" s="9" t="s">
        <v>30</v>
      </c>
      <c r="B53" s="9" t="s">
        <v>18</v>
      </c>
      <c r="C53" s="9" t="s">
        <v>21</v>
      </c>
      <c r="D53" s="20" t="str">
        <f t="shared" si="0"/>
        <v>April</v>
      </c>
      <c r="E53" s="21">
        <v>45384</v>
      </c>
      <c r="F53" s="22">
        <f t="shared" si="3"/>
        <v>3</v>
      </c>
      <c r="G53" s="23">
        <f ca="1" t="shared" si="8"/>
        <v>45939</v>
      </c>
      <c r="H53" s="24">
        <v>6</v>
      </c>
      <c r="I53" s="25">
        <v>688</v>
      </c>
      <c r="J53" s="26">
        <v>4128</v>
      </c>
      <c r="K53" s="27">
        <f t="shared" si="2"/>
        <v>688</v>
      </c>
      <c r="M53"/>
    </row>
    <row r="54" spans="1:13">
      <c r="A54" s="9" t="s">
        <v>25</v>
      </c>
      <c r="B54" s="9" t="s">
        <v>20</v>
      </c>
      <c r="C54" s="9" t="s">
        <v>21</v>
      </c>
      <c r="D54" s="20" t="str">
        <f t="shared" si="0"/>
        <v>May</v>
      </c>
      <c r="E54" s="21">
        <v>45436</v>
      </c>
      <c r="F54" s="22">
        <f t="shared" si="3"/>
        <v>6</v>
      </c>
      <c r="G54" s="23">
        <f ca="1" t="shared" si="8"/>
        <v>45939</v>
      </c>
      <c r="H54" s="24">
        <v>2</v>
      </c>
      <c r="I54" s="25">
        <v>789</v>
      </c>
      <c r="J54" s="26">
        <v>1578</v>
      </c>
      <c r="K54" s="27">
        <f t="shared" si="2"/>
        <v>789</v>
      </c>
      <c r="M54"/>
    </row>
    <row r="55" spans="1:13">
      <c r="A55" s="9" t="s">
        <v>22</v>
      </c>
      <c r="B55" s="9" t="s">
        <v>34</v>
      </c>
      <c r="C55" s="9" t="s">
        <v>21</v>
      </c>
      <c r="D55" s="20" t="str">
        <f t="shared" si="0"/>
        <v>June</v>
      </c>
      <c r="E55" s="21">
        <v>45451</v>
      </c>
      <c r="F55" s="22">
        <f t="shared" si="3"/>
        <v>7</v>
      </c>
      <c r="G55" s="23">
        <f ca="1" t="shared" si="8"/>
        <v>45939</v>
      </c>
      <c r="H55" s="24">
        <v>3</v>
      </c>
      <c r="I55" s="25">
        <v>1448</v>
      </c>
      <c r="J55" s="26">
        <v>4344</v>
      </c>
      <c r="K55" s="27">
        <f t="shared" si="2"/>
        <v>1448</v>
      </c>
      <c r="M55"/>
    </row>
    <row r="56" spans="1:13">
      <c r="A56" s="9" t="s">
        <v>33</v>
      </c>
      <c r="B56" s="9" t="s">
        <v>34</v>
      </c>
      <c r="C56" s="9" t="s">
        <v>13</v>
      </c>
      <c r="D56" s="20" t="str">
        <f t="shared" si="0"/>
        <v>January</v>
      </c>
      <c r="E56" s="21">
        <v>45311</v>
      </c>
      <c r="F56" s="22">
        <f t="shared" si="3"/>
        <v>7</v>
      </c>
      <c r="G56" s="23">
        <f ca="1" t="shared" si="8"/>
        <v>45939</v>
      </c>
      <c r="H56" s="24">
        <v>5</v>
      </c>
      <c r="I56" s="25">
        <v>373</v>
      </c>
      <c r="J56" s="26">
        <v>1865</v>
      </c>
      <c r="K56" s="27">
        <f t="shared" si="2"/>
        <v>373</v>
      </c>
      <c r="M56"/>
    </row>
    <row r="57" spans="1:13">
      <c r="A57" s="9" t="s">
        <v>11</v>
      </c>
      <c r="B57" s="9" t="s">
        <v>12</v>
      </c>
      <c r="C57" s="9" t="s">
        <v>21</v>
      </c>
      <c r="D57" s="20" t="str">
        <f t="shared" si="0"/>
        <v>March</v>
      </c>
      <c r="E57" s="21">
        <v>45359</v>
      </c>
      <c r="F57" s="22">
        <f t="shared" si="3"/>
        <v>6</v>
      </c>
      <c r="G57" s="23">
        <f ca="1" t="shared" si="8"/>
        <v>45939</v>
      </c>
      <c r="H57" s="24">
        <v>8</v>
      </c>
      <c r="I57" s="25">
        <v>1286</v>
      </c>
      <c r="J57" s="26">
        <v>10288</v>
      </c>
      <c r="K57" s="27">
        <f t="shared" si="2"/>
        <v>1286</v>
      </c>
      <c r="M57"/>
    </row>
    <row r="58" spans="1:13">
      <c r="A58" s="9" t="s">
        <v>31</v>
      </c>
      <c r="B58" s="9" t="s">
        <v>26</v>
      </c>
      <c r="C58" s="9" t="s">
        <v>27</v>
      </c>
      <c r="D58" s="20" t="str">
        <f t="shared" si="0"/>
        <v>June</v>
      </c>
      <c r="E58" s="21">
        <v>45445</v>
      </c>
      <c r="F58" s="22">
        <f t="shared" si="3"/>
        <v>1</v>
      </c>
      <c r="G58" s="23">
        <f ca="1" t="shared" si="8"/>
        <v>45939</v>
      </c>
      <c r="H58" s="24">
        <v>8</v>
      </c>
      <c r="I58" s="25">
        <v>852</v>
      </c>
      <c r="J58" s="26">
        <v>6816</v>
      </c>
      <c r="K58" s="27">
        <f t="shared" si="2"/>
        <v>852</v>
      </c>
      <c r="M58"/>
    </row>
    <row r="59" spans="1:13">
      <c r="A59" s="9" t="s">
        <v>31</v>
      </c>
      <c r="B59" s="9" t="s">
        <v>12</v>
      </c>
      <c r="C59" s="9" t="s">
        <v>27</v>
      </c>
      <c r="D59" s="20" t="str">
        <f t="shared" si="0"/>
        <v>February</v>
      </c>
      <c r="E59" s="21">
        <v>45334</v>
      </c>
      <c r="F59" s="22">
        <f t="shared" si="3"/>
        <v>2</v>
      </c>
      <c r="G59" s="23">
        <f ca="1" t="shared" si="8"/>
        <v>45939</v>
      </c>
      <c r="H59" s="24">
        <v>5</v>
      </c>
      <c r="I59" s="25">
        <v>1465</v>
      </c>
      <c r="J59" s="26">
        <v>7325</v>
      </c>
      <c r="K59" s="27">
        <f t="shared" si="2"/>
        <v>1465</v>
      </c>
      <c r="M59"/>
    </row>
    <row r="60" spans="1:13">
      <c r="A60" s="9" t="s">
        <v>14</v>
      </c>
      <c r="B60" s="9" t="s">
        <v>18</v>
      </c>
      <c r="C60" s="9" t="s">
        <v>24</v>
      </c>
      <c r="D60" s="20" t="str">
        <f t="shared" si="0"/>
        <v>June</v>
      </c>
      <c r="E60" s="21">
        <v>45453</v>
      </c>
      <c r="F60" s="22">
        <f t="shared" si="3"/>
        <v>2</v>
      </c>
      <c r="G60" s="23">
        <f ca="1" t="shared" si="8"/>
        <v>45939</v>
      </c>
      <c r="H60" s="24">
        <v>10</v>
      </c>
      <c r="I60" s="25">
        <v>1227</v>
      </c>
      <c r="J60" s="26">
        <v>12270</v>
      </c>
      <c r="K60" s="27">
        <f t="shared" si="2"/>
        <v>1227</v>
      </c>
      <c r="M60"/>
    </row>
    <row r="61" spans="1:13">
      <c r="A61" s="9" t="s">
        <v>31</v>
      </c>
      <c r="B61" s="9" t="s">
        <v>18</v>
      </c>
      <c r="C61" s="9" t="s">
        <v>27</v>
      </c>
      <c r="D61" s="20" t="str">
        <f t="shared" si="0"/>
        <v>April</v>
      </c>
      <c r="E61" s="21">
        <v>45410</v>
      </c>
      <c r="F61" s="22">
        <f t="shared" si="3"/>
        <v>1</v>
      </c>
      <c r="G61" s="23">
        <f ca="1" t="shared" si="8"/>
        <v>45939</v>
      </c>
      <c r="H61" s="24">
        <v>10</v>
      </c>
      <c r="I61" s="25">
        <v>1299</v>
      </c>
      <c r="J61" s="26">
        <v>12990</v>
      </c>
      <c r="K61" s="27">
        <f t="shared" si="2"/>
        <v>1299</v>
      </c>
      <c r="M61"/>
    </row>
    <row r="62" spans="1:13">
      <c r="A62" s="9" t="s">
        <v>22</v>
      </c>
      <c r="B62" s="9" t="s">
        <v>15</v>
      </c>
      <c r="C62" s="9" t="s">
        <v>24</v>
      </c>
      <c r="D62" s="20" t="str">
        <f t="shared" si="0"/>
        <v>April</v>
      </c>
      <c r="E62" s="21">
        <v>45410</v>
      </c>
      <c r="F62" s="22">
        <f t="shared" si="3"/>
        <v>1</v>
      </c>
      <c r="G62" s="23">
        <f ca="1" t="shared" ref="G62:G71" si="9">TODAY()</f>
        <v>45939</v>
      </c>
      <c r="H62" s="24">
        <v>10</v>
      </c>
      <c r="I62" s="25">
        <v>830</v>
      </c>
      <c r="J62" s="26">
        <v>8300</v>
      </c>
      <c r="K62" s="27">
        <f t="shared" si="2"/>
        <v>830</v>
      </c>
      <c r="M62"/>
    </row>
    <row r="63" spans="1:13">
      <c r="A63" s="9" t="s">
        <v>30</v>
      </c>
      <c r="B63" s="9" t="s">
        <v>26</v>
      </c>
      <c r="C63" s="9" t="s">
        <v>27</v>
      </c>
      <c r="D63" s="20" t="str">
        <f t="shared" si="0"/>
        <v>February</v>
      </c>
      <c r="E63" s="21">
        <v>45332</v>
      </c>
      <c r="F63" s="22">
        <f t="shared" si="3"/>
        <v>7</v>
      </c>
      <c r="G63" s="23">
        <f ca="1" t="shared" si="9"/>
        <v>45939</v>
      </c>
      <c r="H63" s="24">
        <v>5</v>
      </c>
      <c r="I63" s="25">
        <v>606</v>
      </c>
      <c r="J63" s="26">
        <v>3030</v>
      </c>
      <c r="K63" s="27">
        <f t="shared" si="2"/>
        <v>606</v>
      </c>
      <c r="M63"/>
    </row>
    <row r="64" spans="1:13">
      <c r="A64" s="9" t="s">
        <v>14</v>
      </c>
      <c r="B64" s="9" t="s">
        <v>12</v>
      </c>
      <c r="C64" s="9" t="s">
        <v>13</v>
      </c>
      <c r="D64" s="20" t="str">
        <f t="shared" si="0"/>
        <v>January</v>
      </c>
      <c r="E64" s="21">
        <v>45298</v>
      </c>
      <c r="F64" s="22">
        <f t="shared" si="3"/>
        <v>1</v>
      </c>
      <c r="G64" s="23">
        <f ca="1" t="shared" si="9"/>
        <v>45939</v>
      </c>
      <c r="H64" s="24">
        <v>6</v>
      </c>
      <c r="I64" s="25">
        <v>970</v>
      </c>
      <c r="J64" s="26">
        <v>5820</v>
      </c>
      <c r="K64" s="27">
        <f t="shared" si="2"/>
        <v>970</v>
      </c>
      <c r="M64"/>
    </row>
    <row r="65" spans="1:13">
      <c r="A65" s="9" t="s">
        <v>11</v>
      </c>
      <c r="B65" s="9" t="s">
        <v>20</v>
      </c>
      <c r="C65" s="9" t="s">
        <v>21</v>
      </c>
      <c r="D65" s="20" t="str">
        <f t="shared" si="0"/>
        <v>March</v>
      </c>
      <c r="E65" s="21">
        <v>45361</v>
      </c>
      <c r="F65" s="22">
        <f t="shared" si="3"/>
        <v>1</v>
      </c>
      <c r="G65" s="23">
        <f ca="1" t="shared" si="9"/>
        <v>45939</v>
      </c>
      <c r="H65" s="24">
        <v>9</v>
      </c>
      <c r="I65" s="25">
        <v>1340</v>
      </c>
      <c r="J65" s="26">
        <v>12060</v>
      </c>
      <c r="K65" s="27">
        <f t="shared" si="2"/>
        <v>1340</v>
      </c>
      <c r="M65"/>
    </row>
    <row r="66" spans="1:13">
      <c r="A66" s="9" t="s">
        <v>17</v>
      </c>
      <c r="B66" s="9" t="s">
        <v>32</v>
      </c>
      <c r="C66" s="9" t="s">
        <v>24</v>
      </c>
      <c r="D66" s="20" t="str">
        <f t="shared" ref="D66:D129" si="10">TEXT(E66,"mmmm")</f>
        <v>June</v>
      </c>
      <c r="E66" s="21">
        <v>45472</v>
      </c>
      <c r="F66" s="22">
        <f t="shared" si="3"/>
        <v>7</v>
      </c>
      <c r="G66" s="23">
        <f ca="1" t="shared" si="9"/>
        <v>45939</v>
      </c>
      <c r="H66" s="24">
        <v>5</v>
      </c>
      <c r="I66" s="25">
        <v>1495</v>
      </c>
      <c r="J66" s="26">
        <v>7475</v>
      </c>
      <c r="K66" s="27">
        <f t="shared" ref="K66:K129" si="11">J66/H66</f>
        <v>1495</v>
      </c>
      <c r="M66"/>
    </row>
    <row r="67" spans="1:13">
      <c r="A67" s="9" t="s">
        <v>19</v>
      </c>
      <c r="B67" s="9" t="s">
        <v>34</v>
      </c>
      <c r="C67" s="9" t="s">
        <v>21</v>
      </c>
      <c r="D67" s="20" t="str">
        <f t="shared" si="10"/>
        <v>June</v>
      </c>
      <c r="E67" s="21">
        <v>45456</v>
      </c>
      <c r="F67" s="22">
        <f t="shared" ref="F67:F130" si="12">WEEKDAY(E67,1)</f>
        <v>5</v>
      </c>
      <c r="G67" s="23">
        <f ca="1" t="shared" si="9"/>
        <v>45939</v>
      </c>
      <c r="H67" s="24">
        <v>10</v>
      </c>
      <c r="I67" s="25">
        <v>1389</v>
      </c>
      <c r="J67" s="26">
        <v>13890</v>
      </c>
      <c r="K67" s="27">
        <f t="shared" si="11"/>
        <v>1389</v>
      </c>
      <c r="M67"/>
    </row>
    <row r="68" spans="1:13">
      <c r="A68" s="9" t="s">
        <v>11</v>
      </c>
      <c r="B68" s="9" t="s">
        <v>12</v>
      </c>
      <c r="C68" s="9" t="s">
        <v>21</v>
      </c>
      <c r="D68" s="20" t="str">
        <f t="shared" si="10"/>
        <v>June</v>
      </c>
      <c r="E68" s="21">
        <v>45464</v>
      </c>
      <c r="F68" s="22">
        <f t="shared" si="12"/>
        <v>6</v>
      </c>
      <c r="G68" s="23">
        <f ca="1" t="shared" si="9"/>
        <v>45939</v>
      </c>
      <c r="H68" s="24">
        <v>5</v>
      </c>
      <c r="I68" s="25">
        <v>395</v>
      </c>
      <c r="J68" s="26">
        <v>1975</v>
      </c>
      <c r="K68" s="27">
        <f t="shared" si="11"/>
        <v>395</v>
      </c>
      <c r="M68"/>
    </row>
    <row r="69" spans="1:13">
      <c r="A69" s="9" t="s">
        <v>14</v>
      </c>
      <c r="B69" s="9" t="s">
        <v>23</v>
      </c>
      <c r="C69" s="9" t="s">
        <v>13</v>
      </c>
      <c r="D69" s="20" t="str">
        <f t="shared" si="10"/>
        <v>March</v>
      </c>
      <c r="E69" s="21">
        <v>45354</v>
      </c>
      <c r="F69" s="22">
        <f t="shared" si="12"/>
        <v>1</v>
      </c>
      <c r="G69" s="23">
        <f ca="1" t="shared" si="9"/>
        <v>45939</v>
      </c>
      <c r="H69" s="24">
        <v>4</v>
      </c>
      <c r="I69" s="25">
        <v>1118</v>
      </c>
      <c r="J69" s="26">
        <v>4472</v>
      </c>
      <c r="K69" s="27">
        <f t="shared" si="11"/>
        <v>1118</v>
      </c>
      <c r="M69"/>
    </row>
    <row r="70" spans="1:13">
      <c r="A70" s="9" t="s">
        <v>31</v>
      </c>
      <c r="B70" s="9" t="s">
        <v>28</v>
      </c>
      <c r="C70" s="9" t="s">
        <v>24</v>
      </c>
      <c r="D70" s="20" t="str">
        <f t="shared" si="10"/>
        <v>March</v>
      </c>
      <c r="E70" s="21">
        <v>45357</v>
      </c>
      <c r="F70" s="22">
        <f t="shared" si="12"/>
        <v>4</v>
      </c>
      <c r="G70" s="23">
        <f ca="1" t="shared" si="9"/>
        <v>45939</v>
      </c>
      <c r="H70" s="24">
        <v>5</v>
      </c>
      <c r="I70" s="25">
        <v>979</v>
      </c>
      <c r="J70" s="26">
        <v>4895</v>
      </c>
      <c r="K70" s="27">
        <f t="shared" si="11"/>
        <v>979</v>
      </c>
      <c r="M70"/>
    </row>
    <row r="71" spans="1:13">
      <c r="A71" s="9" t="s">
        <v>14</v>
      </c>
      <c r="B71" s="9" t="s">
        <v>32</v>
      </c>
      <c r="C71" s="9" t="s">
        <v>24</v>
      </c>
      <c r="D71" s="20" t="str">
        <f t="shared" si="10"/>
        <v>April</v>
      </c>
      <c r="E71" s="21">
        <v>45404</v>
      </c>
      <c r="F71" s="22">
        <f t="shared" si="12"/>
        <v>2</v>
      </c>
      <c r="G71" s="23">
        <f ca="1" t="shared" si="9"/>
        <v>45939</v>
      </c>
      <c r="H71" s="24">
        <v>4</v>
      </c>
      <c r="I71" s="25">
        <v>677</v>
      </c>
      <c r="J71" s="26">
        <v>2708</v>
      </c>
      <c r="K71" s="27">
        <f t="shared" si="11"/>
        <v>677</v>
      </c>
      <c r="M71"/>
    </row>
    <row r="72" spans="1:13">
      <c r="A72" s="9" t="s">
        <v>19</v>
      </c>
      <c r="B72" s="9" t="s">
        <v>12</v>
      </c>
      <c r="C72" s="9" t="s">
        <v>27</v>
      </c>
      <c r="D72" s="20" t="str">
        <f t="shared" si="10"/>
        <v>April</v>
      </c>
      <c r="E72" s="21">
        <v>45407</v>
      </c>
      <c r="F72" s="22">
        <f t="shared" si="12"/>
        <v>5</v>
      </c>
      <c r="G72" s="23">
        <f ca="1" t="shared" ref="G72:G81" si="13">TODAY()</f>
        <v>45939</v>
      </c>
      <c r="H72" s="24">
        <v>3</v>
      </c>
      <c r="I72" s="25">
        <v>1012</v>
      </c>
      <c r="J72" s="26">
        <v>3036</v>
      </c>
      <c r="K72" s="27">
        <f t="shared" si="11"/>
        <v>1012</v>
      </c>
      <c r="M72"/>
    </row>
    <row r="73" spans="1:13">
      <c r="A73" s="9" t="s">
        <v>30</v>
      </c>
      <c r="B73" s="9" t="s">
        <v>28</v>
      </c>
      <c r="C73" s="9" t="s">
        <v>24</v>
      </c>
      <c r="D73" s="20" t="str">
        <f t="shared" si="10"/>
        <v>March</v>
      </c>
      <c r="E73" s="21">
        <v>45376</v>
      </c>
      <c r="F73" s="22">
        <f t="shared" si="12"/>
        <v>2</v>
      </c>
      <c r="G73" s="23">
        <f ca="1" t="shared" si="13"/>
        <v>45939</v>
      </c>
      <c r="H73" s="24">
        <v>10</v>
      </c>
      <c r="I73" s="25">
        <v>1232</v>
      </c>
      <c r="J73" s="26">
        <v>12320</v>
      </c>
      <c r="K73" s="27">
        <f t="shared" si="11"/>
        <v>1232</v>
      </c>
      <c r="M73"/>
    </row>
    <row r="74" spans="1:13">
      <c r="A74" s="9" t="s">
        <v>16</v>
      </c>
      <c r="B74" s="9" t="s">
        <v>29</v>
      </c>
      <c r="C74" s="9" t="s">
        <v>21</v>
      </c>
      <c r="D74" s="20" t="str">
        <f t="shared" si="10"/>
        <v>April</v>
      </c>
      <c r="E74" s="21">
        <v>45383</v>
      </c>
      <c r="F74" s="22">
        <f t="shared" si="12"/>
        <v>2</v>
      </c>
      <c r="G74" s="23">
        <f ca="1" t="shared" si="13"/>
        <v>45939</v>
      </c>
      <c r="H74" s="24">
        <v>3</v>
      </c>
      <c r="I74" s="25">
        <v>836</v>
      </c>
      <c r="J74" s="26">
        <v>2508</v>
      </c>
      <c r="K74" s="27">
        <f t="shared" si="11"/>
        <v>836</v>
      </c>
      <c r="M74"/>
    </row>
    <row r="75" spans="1:13">
      <c r="A75" s="9" t="s">
        <v>16</v>
      </c>
      <c r="B75" s="9" t="s">
        <v>23</v>
      </c>
      <c r="C75" s="9" t="s">
        <v>27</v>
      </c>
      <c r="D75" s="20" t="str">
        <f t="shared" si="10"/>
        <v>April</v>
      </c>
      <c r="E75" s="21">
        <v>45396</v>
      </c>
      <c r="F75" s="22">
        <f t="shared" si="12"/>
        <v>1</v>
      </c>
      <c r="G75" s="23">
        <f ca="1" t="shared" si="13"/>
        <v>45939</v>
      </c>
      <c r="H75" s="24">
        <v>3</v>
      </c>
      <c r="I75" s="25">
        <v>1152</v>
      </c>
      <c r="J75" s="26">
        <v>3456</v>
      </c>
      <c r="K75" s="27">
        <f t="shared" si="11"/>
        <v>1152</v>
      </c>
      <c r="M75"/>
    </row>
    <row r="76" spans="1:13">
      <c r="A76" s="9" t="s">
        <v>11</v>
      </c>
      <c r="B76" s="9" t="s">
        <v>18</v>
      </c>
      <c r="C76" s="9" t="s">
        <v>27</v>
      </c>
      <c r="D76" s="20" t="str">
        <f t="shared" si="10"/>
        <v>January</v>
      </c>
      <c r="E76" s="21">
        <v>45305</v>
      </c>
      <c r="F76" s="22">
        <f t="shared" si="12"/>
        <v>1</v>
      </c>
      <c r="G76" s="23">
        <f ca="1" t="shared" si="13"/>
        <v>45939</v>
      </c>
      <c r="H76" s="24">
        <v>9</v>
      </c>
      <c r="I76" s="25">
        <v>1318</v>
      </c>
      <c r="J76" s="26">
        <v>11862</v>
      </c>
      <c r="K76" s="27">
        <f t="shared" si="11"/>
        <v>1318</v>
      </c>
      <c r="M76"/>
    </row>
    <row r="77" spans="1:13">
      <c r="A77" s="9" t="s">
        <v>14</v>
      </c>
      <c r="B77" s="9" t="s">
        <v>12</v>
      </c>
      <c r="C77" s="9" t="s">
        <v>21</v>
      </c>
      <c r="D77" s="20" t="str">
        <f t="shared" si="10"/>
        <v>March</v>
      </c>
      <c r="E77" s="21">
        <v>45363</v>
      </c>
      <c r="F77" s="22">
        <f t="shared" si="12"/>
        <v>3</v>
      </c>
      <c r="G77" s="23">
        <f ca="1" t="shared" si="13"/>
        <v>45939</v>
      </c>
      <c r="H77" s="24">
        <v>1</v>
      </c>
      <c r="I77" s="25">
        <v>870</v>
      </c>
      <c r="J77" s="26">
        <v>870</v>
      </c>
      <c r="K77" s="27">
        <f t="shared" si="11"/>
        <v>870</v>
      </c>
      <c r="M77"/>
    </row>
    <row r="78" spans="1:13">
      <c r="A78" s="9" t="s">
        <v>14</v>
      </c>
      <c r="B78" s="9" t="s">
        <v>26</v>
      </c>
      <c r="C78" s="9" t="s">
        <v>21</v>
      </c>
      <c r="D78" s="20" t="str">
        <f t="shared" si="10"/>
        <v>February</v>
      </c>
      <c r="E78" s="21">
        <v>45334</v>
      </c>
      <c r="F78" s="22">
        <f t="shared" si="12"/>
        <v>2</v>
      </c>
      <c r="G78" s="23">
        <f ca="1" t="shared" si="13"/>
        <v>45939</v>
      </c>
      <c r="H78" s="24">
        <v>3</v>
      </c>
      <c r="I78" s="25">
        <v>701</v>
      </c>
      <c r="J78" s="26">
        <v>2103</v>
      </c>
      <c r="K78" s="27">
        <f t="shared" si="11"/>
        <v>701</v>
      </c>
      <c r="M78"/>
    </row>
    <row r="79" spans="1:13">
      <c r="A79" s="9" t="s">
        <v>33</v>
      </c>
      <c r="B79" s="9" t="s">
        <v>28</v>
      </c>
      <c r="C79" s="9" t="s">
        <v>13</v>
      </c>
      <c r="D79" s="20" t="str">
        <f t="shared" si="10"/>
        <v>May</v>
      </c>
      <c r="E79" s="21">
        <v>45416</v>
      </c>
      <c r="F79" s="22">
        <f t="shared" si="12"/>
        <v>7</v>
      </c>
      <c r="G79" s="23">
        <f ca="1" t="shared" si="13"/>
        <v>45939</v>
      </c>
      <c r="H79" s="24">
        <v>9</v>
      </c>
      <c r="I79" s="25">
        <v>518</v>
      </c>
      <c r="J79" s="26">
        <v>4662</v>
      </c>
      <c r="K79" s="27">
        <f t="shared" si="11"/>
        <v>518</v>
      </c>
      <c r="M79"/>
    </row>
    <row r="80" spans="1:13">
      <c r="A80" s="9" t="s">
        <v>16</v>
      </c>
      <c r="B80" s="9" t="s">
        <v>20</v>
      </c>
      <c r="C80" s="9" t="s">
        <v>27</v>
      </c>
      <c r="D80" s="20" t="str">
        <f t="shared" si="10"/>
        <v>April</v>
      </c>
      <c r="E80" s="21">
        <v>45402</v>
      </c>
      <c r="F80" s="22">
        <f t="shared" si="12"/>
        <v>7</v>
      </c>
      <c r="G80" s="23">
        <f ca="1" t="shared" si="13"/>
        <v>45939</v>
      </c>
      <c r="H80" s="24">
        <v>5</v>
      </c>
      <c r="I80" s="25">
        <v>643</v>
      </c>
      <c r="J80" s="26">
        <v>3215</v>
      </c>
      <c r="K80" s="27">
        <f t="shared" si="11"/>
        <v>643</v>
      </c>
      <c r="M80"/>
    </row>
    <row r="81" spans="1:13">
      <c r="A81" s="9" t="s">
        <v>22</v>
      </c>
      <c r="B81" s="9" t="s">
        <v>12</v>
      </c>
      <c r="C81" s="9" t="s">
        <v>21</v>
      </c>
      <c r="D81" s="20" t="str">
        <f t="shared" si="10"/>
        <v>February</v>
      </c>
      <c r="E81" s="21">
        <v>45327</v>
      </c>
      <c r="F81" s="22">
        <f t="shared" si="12"/>
        <v>2</v>
      </c>
      <c r="G81" s="23">
        <f ca="1" t="shared" si="13"/>
        <v>45939</v>
      </c>
      <c r="H81" s="24">
        <v>10</v>
      </c>
      <c r="I81" s="25">
        <v>577</v>
      </c>
      <c r="J81" s="26">
        <v>5770</v>
      </c>
      <c r="K81" s="27">
        <f t="shared" si="11"/>
        <v>577</v>
      </c>
      <c r="M81"/>
    </row>
    <row r="82" spans="1:13">
      <c r="A82" s="9" t="s">
        <v>19</v>
      </c>
      <c r="B82" s="9" t="s">
        <v>12</v>
      </c>
      <c r="C82" s="9" t="s">
        <v>27</v>
      </c>
      <c r="D82" s="20" t="str">
        <f t="shared" si="10"/>
        <v>May</v>
      </c>
      <c r="E82" s="21">
        <v>45420</v>
      </c>
      <c r="F82" s="22">
        <f t="shared" si="12"/>
        <v>4</v>
      </c>
      <c r="G82" s="23">
        <f ca="1" t="shared" ref="G82:G91" si="14">TODAY()</f>
        <v>45939</v>
      </c>
      <c r="H82" s="24">
        <v>5</v>
      </c>
      <c r="I82" s="25">
        <v>505</v>
      </c>
      <c r="J82" s="26">
        <v>2525</v>
      </c>
      <c r="K82" s="27">
        <f t="shared" si="11"/>
        <v>505</v>
      </c>
      <c r="M82"/>
    </row>
    <row r="83" spans="1:13">
      <c r="A83" s="9" t="s">
        <v>31</v>
      </c>
      <c r="B83" s="9" t="s">
        <v>20</v>
      </c>
      <c r="C83" s="9" t="s">
        <v>21</v>
      </c>
      <c r="D83" s="20" t="str">
        <f t="shared" si="10"/>
        <v>May</v>
      </c>
      <c r="E83" s="21">
        <v>45431</v>
      </c>
      <c r="F83" s="22">
        <f t="shared" si="12"/>
        <v>1</v>
      </c>
      <c r="G83" s="23">
        <f ca="1" t="shared" si="14"/>
        <v>45939</v>
      </c>
      <c r="H83" s="24">
        <v>2</v>
      </c>
      <c r="I83" s="25">
        <v>1500</v>
      </c>
      <c r="J83" s="26">
        <v>3000</v>
      </c>
      <c r="K83" s="27">
        <f t="shared" si="11"/>
        <v>1500</v>
      </c>
      <c r="M83"/>
    </row>
    <row r="84" spans="1:13">
      <c r="A84" s="9" t="s">
        <v>14</v>
      </c>
      <c r="B84" s="9" t="s">
        <v>15</v>
      </c>
      <c r="C84" s="9" t="s">
        <v>21</v>
      </c>
      <c r="D84" s="20" t="str">
        <f t="shared" si="10"/>
        <v>April</v>
      </c>
      <c r="E84" s="21">
        <v>45396</v>
      </c>
      <c r="F84" s="22">
        <f t="shared" si="12"/>
        <v>1</v>
      </c>
      <c r="G84" s="23">
        <f ca="1" t="shared" si="14"/>
        <v>45939</v>
      </c>
      <c r="H84" s="24">
        <v>8</v>
      </c>
      <c r="I84" s="25">
        <v>520</v>
      </c>
      <c r="J84" s="26">
        <v>4160</v>
      </c>
      <c r="K84" s="27">
        <f t="shared" si="11"/>
        <v>520</v>
      </c>
      <c r="M84"/>
    </row>
    <row r="85" spans="1:13">
      <c r="A85" s="9" t="s">
        <v>25</v>
      </c>
      <c r="B85" s="9" t="s">
        <v>29</v>
      </c>
      <c r="C85" s="9" t="s">
        <v>21</v>
      </c>
      <c r="D85" s="20" t="str">
        <f t="shared" si="10"/>
        <v>January</v>
      </c>
      <c r="E85" s="21">
        <v>45318</v>
      </c>
      <c r="F85" s="22">
        <f t="shared" si="12"/>
        <v>7</v>
      </c>
      <c r="G85" s="23">
        <f ca="1" t="shared" si="14"/>
        <v>45939</v>
      </c>
      <c r="H85" s="24">
        <v>3</v>
      </c>
      <c r="I85" s="25">
        <v>1247</v>
      </c>
      <c r="J85" s="26">
        <v>3741</v>
      </c>
      <c r="K85" s="27">
        <f t="shared" si="11"/>
        <v>1247</v>
      </c>
      <c r="M85"/>
    </row>
    <row r="86" spans="1:13">
      <c r="A86" s="9" t="s">
        <v>25</v>
      </c>
      <c r="B86" s="9" t="s">
        <v>26</v>
      </c>
      <c r="C86" s="9" t="s">
        <v>27</v>
      </c>
      <c r="D86" s="20" t="str">
        <f t="shared" si="10"/>
        <v>March</v>
      </c>
      <c r="E86" s="21">
        <v>45356</v>
      </c>
      <c r="F86" s="22">
        <f t="shared" si="12"/>
        <v>3</v>
      </c>
      <c r="G86" s="23">
        <f ca="1" t="shared" si="14"/>
        <v>45939</v>
      </c>
      <c r="H86" s="24">
        <v>6</v>
      </c>
      <c r="I86" s="25">
        <v>1187</v>
      </c>
      <c r="J86" s="26">
        <v>7122</v>
      </c>
      <c r="K86" s="27">
        <f t="shared" si="11"/>
        <v>1187</v>
      </c>
      <c r="M86"/>
    </row>
    <row r="87" spans="1:13">
      <c r="A87" s="9" t="s">
        <v>30</v>
      </c>
      <c r="B87" s="9" t="s">
        <v>20</v>
      </c>
      <c r="C87" s="9" t="s">
        <v>24</v>
      </c>
      <c r="D87" s="20" t="str">
        <f t="shared" si="10"/>
        <v>February</v>
      </c>
      <c r="E87" s="21">
        <v>45330</v>
      </c>
      <c r="F87" s="22">
        <f t="shared" si="12"/>
        <v>5</v>
      </c>
      <c r="G87" s="23">
        <f ca="1" t="shared" si="14"/>
        <v>45939</v>
      </c>
      <c r="H87" s="24">
        <v>10</v>
      </c>
      <c r="I87" s="25">
        <v>1450</v>
      </c>
      <c r="J87" s="26">
        <v>14500</v>
      </c>
      <c r="K87" s="27">
        <f t="shared" si="11"/>
        <v>1450</v>
      </c>
      <c r="M87"/>
    </row>
    <row r="88" spans="1:13">
      <c r="A88" s="9" t="s">
        <v>14</v>
      </c>
      <c r="B88" s="9" t="s">
        <v>29</v>
      </c>
      <c r="C88" s="9" t="s">
        <v>27</v>
      </c>
      <c r="D88" s="20" t="str">
        <f t="shared" si="10"/>
        <v>May</v>
      </c>
      <c r="E88" s="21">
        <v>45426</v>
      </c>
      <c r="F88" s="22">
        <f t="shared" si="12"/>
        <v>3</v>
      </c>
      <c r="G88" s="23">
        <f ca="1" t="shared" si="14"/>
        <v>45939</v>
      </c>
      <c r="H88" s="24">
        <v>7</v>
      </c>
      <c r="I88" s="25">
        <v>1424</v>
      </c>
      <c r="J88" s="26">
        <v>9968</v>
      </c>
      <c r="K88" s="27">
        <f t="shared" si="11"/>
        <v>1424</v>
      </c>
      <c r="M88"/>
    </row>
    <row r="89" spans="1:13">
      <c r="A89" s="9" t="s">
        <v>30</v>
      </c>
      <c r="B89" s="9" t="s">
        <v>34</v>
      </c>
      <c r="C89" s="9" t="s">
        <v>13</v>
      </c>
      <c r="D89" s="20" t="str">
        <f t="shared" si="10"/>
        <v>April</v>
      </c>
      <c r="E89" s="21">
        <v>45410</v>
      </c>
      <c r="F89" s="22">
        <f t="shared" si="12"/>
        <v>1</v>
      </c>
      <c r="G89" s="23">
        <f ca="1" t="shared" si="14"/>
        <v>45939</v>
      </c>
      <c r="H89" s="24">
        <v>5</v>
      </c>
      <c r="I89" s="25">
        <v>347</v>
      </c>
      <c r="J89" s="26">
        <v>1735</v>
      </c>
      <c r="K89" s="27">
        <f t="shared" si="11"/>
        <v>347</v>
      </c>
      <c r="M89"/>
    </row>
    <row r="90" spans="1:13">
      <c r="A90" s="9" t="s">
        <v>31</v>
      </c>
      <c r="B90" s="9" t="s">
        <v>15</v>
      </c>
      <c r="C90" s="9" t="s">
        <v>24</v>
      </c>
      <c r="D90" s="20" t="str">
        <f t="shared" si="10"/>
        <v>April</v>
      </c>
      <c r="E90" s="21">
        <v>45395</v>
      </c>
      <c r="F90" s="22">
        <f t="shared" si="12"/>
        <v>7</v>
      </c>
      <c r="G90" s="23">
        <f ca="1" t="shared" si="14"/>
        <v>45939</v>
      </c>
      <c r="H90" s="24">
        <v>1</v>
      </c>
      <c r="I90" s="25">
        <v>1181</v>
      </c>
      <c r="J90" s="26">
        <v>1181</v>
      </c>
      <c r="K90" s="27">
        <f t="shared" si="11"/>
        <v>1181</v>
      </c>
      <c r="M90"/>
    </row>
    <row r="91" spans="1:13">
      <c r="A91" s="9" t="s">
        <v>30</v>
      </c>
      <c r="B91" s="9" t="s">
        <v>12</v>
      </c>
      <c r="C91" s="9" t="s">
        <v>24</v>
      </c>
      <c r="D91" s="20" t="str">
        <f t="shared" si="10"/>
        <v>May</v>
      </c>
      <c r="E91" s="21">
        <v>45428</v>
      </c>
      <c r="F91" s="22">
        <f t="shared" si="12"/>
        <v>5</v>
      </c>
      <c r="G91" s="23">
        <f ca="1" t="shared" si="14"/>
        <v>45939</v>
      </c>
      <c r="H91" s="24">
        <v>8</v>
      </c>
      <c r="I91" s="25">
        <v>491</v>
      </c>
      <c r="J91" s="26">
        <v>3928</v>
      </c>
      <c r="K91" s="27">
        <f t="shared" si="11"/>
        <v>491</v>
      </c>
      <c r="M91"/>
    </row>
    <row r="92" spans="1:13">
      <c r="A92" s="9" t="s">
        <v>30</v>
      </c>
      <c r="B92" s="9" t="s">
        <v>15</v>
      </c>
      <c r="C92" s="9" t="s">
        <v>21</v>
      </c>
      <c r="D92" s="20" t="str">
        <f t="shared" si="10"/>
        <v>March</v>
      </c>
      <c r="E92" s="21">
        <v>45363</v>
      </c>
      <c r="F92" s="22">
        <f t="shared" si="12"/>
        <v>3</v>
      </c>
      <c r="G92" s="23">
        <f ca="1" t="shared" ref="G92:G101" si="15">TODAY()</f>
        <v>45939</v>
      </c>
      <c r="H92" s="24">
        <v>4</v>
      </c>
      <c r="I92" s="25">
        <v>1408</v>
      </c>
      <c r="J92" s="26">
        <v>5632</v>
      </c>
      <c r="K92" s="27">
        <f t="shared" si="11"/>
        <v>1408</v>
      </c>
      <c r="M92"/>
    </row>
    <row r="93" spans="1:13">
      <c r="A93" s="9" t="s">
        <v>16</v>
      </c>
      <c r="B93" s="9" t="s">
        <v>20</v>
      </c>
      <c r="C93" s="9" t="s">
        <v>21</v>
      </c>
      <c r="D93" s="20" t="str">
        <f t="shared" si="10"/>
        <v>February</v>
      </c>
      <c r="E93" s="21">
        <v>45323</v>
      </c>
      <c r="F93" s="22">
        <f t="shared" si="12"/>
        <v>5</v>
      </c>
      <c r="G93" s="23">
        <f ca="1" t="shared" si="15"/>
        <v>45939</v>
      </c>
      <c r="H93" s="24">
        <v>8</v>
      </c>
      <c r="I93" s="25">
        <v>632</v>
      </c>
      <c r="J93" s="26">
        <v>5056</v>
      </c>
      <c r="K93" s="27">
        <f t="shared" si="11"/>
        <v>632</v>
      </c>
      <c r="M93"/>
    </row>
    <row r="94" spans="1:13">
      <c r="A94" s="9" t="s">
        <v>19</v>
      </c>
      <c r="B94" s="9" t="s">
        <v>23</v>
      </c>
      <c r="C94" s="9" t="s">
        <v>13</v>
      </c>
      <c r="D94" s="20" t="str">
        <f t="shared" si="10"/>
        <v>June</v>
      </c>
      <c r="E94" s="21">
        <v>45449</v>
      </c>
      <c r="F94" s="22">
        <f t="shared" si="12"/>
        <v>5</v>
      </c>
      <c r="G94" s="23">
        <f ca="1" t="shared" si="15"/>
        <v>45939</v>
      </c>
      <c r="H94" s="24">
        <v>8</v>
      </c>
      <c r="I94" s="25">
        <v>821</v>
      </c>
      <c r="J94" s="26">
        <v>6568</v>
      </c>
      <c r="K94" s="27">
        <f t="shared" si="11"/>
        <v>821</v>
      </c>
      <c r="M94"/>
    </row>
    <row r="95" spans="1:13">
      <c r="A95" s="9" t="s">
        <v>31</v>
      </c>
      <c r="B95" s="9" t="s">
        <v>32</v>
      </c>
      <c r="C95" s="9" t="s">
        <v>24</v>
      </c>
      <c r="D95" s="20" t="str">
        <f t="shared" si="10"/>
        <v>January</v>
      </c>
      <c r="E95" s="21">
        <v>45298</v>
      </c>
      <c r="F95" s="22">
        <f t="shared" si="12"/>
        <v>1</v>
      </c>
      <c r="G95" s="23">
        <f ca="1" t="shared" si="15"/>
        <v>45939</v>
      </c>
      <c r="H95" s="24">
        <v>6</v>
      </c>
      <c r="I95" s="25">
        <v>931</v>
      </c>
      <c r="J95" s="26">
        <v>5586</v>
      </c>
      <c r="K95" s="27">
        <f t="shared" si="11"/>
        <v>931</v>
      </c>
      <c r="M95"/>
    </row>
    <row r="96" spans="1:13">
      <c r="A96" s="9" t="s">
        <v>22</v>
      </c>
      <c r="B96" s="9" t="s">
        <v>34</v>
      </c>
      <c r="C96" s="9" t="s">
        <v>24</v>
      </c>
      <c r="D96" s="20" t="str">
        <f t="shared" si="10"/>
        <v>May</v>
      </c>
      <c r="E96" s="21">
        <v>45425</v>
      </c>
      <c r="F96" s="22">
        <f t="shared" si="12"/>
        <v>2</v>
      </c>
      <c r="G96" s="23">
        <f ca="1" t="shared" si="15"/>
        <v>45939</v>
      </c>
      <c r="H96" s="24">
        <v>10</v>
      </c>
      <c r="I96" s="25">
        <v>595</v>
      </c>
      <c r="J96" s="26">
        <v>5950</v>
      </c>
      <c r="K96" s="27">
        <f t="shared" si="11"/>
        <v>595</v>
      </c>
      <c r="M96"/>
    </row>
    <row r="97" spans="1:13">
      <c r="A97" s="9" t="s">
        <v>25</v>
      </c>
      <c r="B97" s="9" t="s">
        <v>29</v>
      </c>
      <c r="C97" s="9" t="s">
        <v>21</v>
      </c>
      <c r="D97" s="20" t="str">
        <f t="shared" si="10"/>
        <v>March</v>
      </c>
      <c r="E97" s="21">
        <v>45367</v>
      </c>
      <c r="F97" s="22">
        <f t="shared" si="12"/>
        <v>7</v>
      </c>
      <c r="G97" s="23">
        <f ca="1" t="shared" si="15"/>
        <v>45939</v>
      </c>
      <c r="H97" s="24">
        <v>7</v>
      </c>
      <c r="I97" s="25">
        <v>441</v>
      </c>
      <c r="J97" s="26">
        <v>3087</v>
      </c>
      <c r="K97" s="27">
        <f t="shared" si="11"/>
        <v>441</v>
      </c>
      <c r="M97"/>
    </row>
    <row r="98" spans="1:13">
      <c r="A98" s="9" t="s">
        <v>17</v>
      </c>
      <c r="B98" s="9" t="s">
        <v>32</v>
      </c>
      <c r="C98" s="9" t="s">
        <v>27</v>
      </c>
      <c r="D98" s="20" t="str">
        <f t="shared" si="10"/>
        <v>May</v>
      </c>
      <c r="E98" s="21">
        <v>45433</v>
      </c>
      <c r="F98" s="22">
        <f t="shared" si="12"/>
        <v>3</v>
      </c>
      <c r="G98" s="23">
        <f ca="1" t="shared" si="15"/>
        <v>45939</v>
      </c>
      <c r="H98" s="24">
        <v>2</v>
      </c>
      <c r="I98" s="25">
        <v>1236</v>
      </c>
      <c r="J98" s="26">
        <v>2472</v>
      </c>
      <c r="K98" s="27">
        <f t="shared" si="11"/>
        <v>1236</v>
      </c>
      <c r="M98"/>
    </row>
    <row r="99" spans="1:13">
      <c r="A99" s="9" t="s">
        <v>25</v>
      </c>
      <c r="B99" s="9" t="s">
        <v>34</v>
      </c>
      <c r="C99" s="9" t="s">
        <v>24</v>
      </c>
      <c r="D99" s="20" t="str">
        <f t="shared" si="10"/>
        <v>February</v>
      </c>
      <c r="E99" s="21">
        <v>45347</v>
      </c>
      <c r="F99" s="22">
        <f t="shared" si="12"/>
        <v>1</v>
      </c>
      <c r="G99" s="23">
        <f ca="1" t="shared" si="15"/>
        <v>45939</v>
      </c>
      <c r="H99" s="24">
        <v>1</v>
      </c>
      <c r="I99" s="25">
        <v>713</v>
      </c>
      <c r="J99" s="26">
        <v>713</v>
      </c>
      <c r="K99" s="27">
        <f t="shared" si="11"/>
        <v>713</v>
      </c>
      <c r="M99"/>
    </row>
    <row r="100" spans="1:13">
      <c r="A100" s="9" t="s">
        <v>14</v>
      </c>
      <c r="B100" s="9" t="s">
        <v>18</v>
      </c>
      <c r="C100" s="9" t="s">
        <v>21</v>
      </c>
      <c r="D100" s="20" t="str">
        <f t="shared" si="10"/>
        <v>March</v>
      </c>
      <c r="E100" s="21">
        <v>45380</v>
      </c>
      <c r="F100" s="22">
        <f t="shared" si="12"/>
        <v>6</v>
      </c>
      <c r="G100" s="23">
        <f ca="1" t="shared" si="15"/>
        <v>45939</v>
      </c>
      <c r="H100" s="24">
        <v>6</v>
      </c>
      <c r="I100" s="25">
        <v>1034</v>
      </c>
      <c r="J100" s="26">
        <v>6204</v>
      </c>
      <c r="K100" s="27">
        <f t="shared" si="11"/>
        <v>1034</v>
      </c>
      <c r="M100"/>
    </row>
    <row r="101" spans="1:13">
      <c r="A101" s="9" t="s">
        <v>22</v>
      </c>
      <c r="B101" s="9" t="s">
        <v>28</v>
      </c>
      <c r="C101" s="9" t="s">
        <v>24</v>
      </c>
      <c r="D101" s="20" t="str">
        <f t="shared" si="10"/>
        <v>May</v>
      </c>
      <c r="E101" s="21">
        <v>45422</v>
      </c>
      <c r="F101" s="22">
        <f t="shared" si="12"/>
        <v>6</v>
      </c>
      <c r="G101" s="23">
        <f ca="1" t="shared" si="15"/>
        <v>45939</v>
      </c>
      <c r="H101" s="24">
        <v>8</v>
      </c>
      <c r="I101" s="25">
        <v>1159</v>
      </c>
      <c r="J101" s="26">
        <v>9272</v>
      </c>
      <c r="K101" s="27">
        <f t="shared" si="11"/>
        <v>1159</v>
      </c>
      <c r="M101"/>
    </row>
    <row r="102" spans="1:13">
      <c r="A102" s="9" t="s">
        <v>11</v>
      </c>
      <c r="B102" s="9" t="s">
        <v>23</v>
      </c>
      <c r="C102" s="9" t="s">
        <v>21</v>
      </c>
      <c r="D102" s="20" t="str">
        <f t="shared" si="10"/>
        <v>February</v>
      </c>
      <c r="E102" s="21">
        <v>45346</v>
      </c>
      <c r="F102" s="22">
        <f t="shared" si="12"/>
        <v>7</v>
      </c>
      <c r="G102" s="23">
        <f ca="1" t="shared" ref="G102:G111" si="16">TODAY()</f>
        <v>45939</v>
      </c>
      <c r="H102" s="24">
        <v>6</v>
      </c>
      <c r="I102" s="25">
        <v>827</v>
      </c>
      <c r="J102" s="26">
        <v>4962</v>
      </c>
      <c r="K102" s="27">
        <f t="shared" si="11"/>
        <v>827</v>
      </c>
      <c r="M102"/>
    </row>
    <row r="103" spans="1:13">
      <c r="A103" s="9" t="s">
        <v>19</v>
      </c>
      <c r="B103" s="9" t="s">
        <v>34</v>
      </c>
      <c r="C103" s="9" t="s">
        <v>21</v>
      </c>
      <c r="D103" s="20" t="str">
        <f t="shared" si="10"/>
        <v>January</v>
      </c>
      <c r="E103" s="21">
        <v>45302</v>
      </c>
      <c r="F103" s="22">
        <f t="shared" si="12"/>
        <v>5</v>
      </c>
      <c r="G103" s="23">
        <f ca="1" t="shared" si="16"/>
        <v>45939</v>
      </c>
      <c r="H103" s="24">
        <v>2</v>
      </c>
      <c r="I103" s="25">
        <v>309</v>
      </c>
      <c r="J103" s="26">
        <v>618</v>
      </c>
      <c r="K103" s="27">
        <f t="shared" si="11"/>
        <v>309</v>
      </c>
      <c r="M103"/>
    </row>
    <row r="104" spans="1:13">
      <c r="A104" s="9" t="s">
        <v>30</v>
      </c>
      <c r="B104" s="9" t="s">
        <v>26</v>
      </c>
      <c r="C104" s="9" t="s">
        <v>27</v>
      </c>
      <c r="D104" s="20" t="str">
        <f t="shared" si="10"/>
        <v>January</v>
      </c>
      <c r="E104" s="21">
        <v>45322</v>
      </c>
      <c r="F104" s="22">
        <f t="shared" si="12"/>
        <v>4</v>
      </c>
      <c r="G104" s="23">
        <f ca="1" t="shared" si="16"/>
        <v>45939</v>
      </c>
      <c r="H104" s="24">
        <v>10</v>
      </c>
      <c r="I104" s="25">
        <v>477</v>
      </c>
      <c r="J104" s="26">
        <v>4770</v>
      </c>
      <c r="K104" s="27">
        <f t="shared" si="11"/>
        <v>477</v>
      </c>
      <c r="M104"/>
    </row>
    <row r="105" spans="1:13">
      <c r="A105" s="9" t="s">
        <v>31</v>
      </c>
      <c r="B105" s="9" t="s">
        <v>28</v>
      </c>
      <c r="C105" s="9" t="s">
        <v>27</v>
      </c>
      <c r="D105" s="20" t="str">
        <f t="shared" si="10"/>
        <v>June</v>
      </c>
      <c r="E105" s="21">
        <v>45469</v>
      </c>
      <c r="F105" s="22">
        <f t="shared" si="12"/>
        <v>4</v>
      </c>
      <c r="G105" s="23">
        <f ca="1" t="shared" si="16"/>
        <v>45939</v>
      </c>
      <c r="H105" s="24">
        <v>2</v>
      </c>
      <c r="I105" s="25">
        <v>618</v>
      </c>
      <c r="J105" s="26">
        <v>1236</v>
      </c>
      <c r="K105" s="27">
        <f t="shared" si="11"/>
        <v>618</v>
      </c>
      <c r="M105"/>
    </row>
    <row r="106" spans="1:13">
      <c r="A106" s="9" t="s">
        <v>22</v>
      </c>
      <c r="B106" s="9" t="s">
        <v>12</v>
      </c>
      <c r="C106" s="9" t="s">
        <v>13</v>
      </c>
      <c r="D106" s="20" t="str">
        <f t="shared" si="10"/>
        <v>April</v>
      </c>
      <c r="E106" s="21">
        <v>45394</v>
      </c>
      <c r="F106" s="22">
        <f t="shared" si="12"/>
        <v>6</v>
      </c>
      <c r="G106" s="23">
        <f ca="1" t="shared" si="16"/>
        <v>45939</v>
      </c>
      <c r="H106" s="24">
        <v>1</v>
      </c>
      <c r="I106" s="25">
        <v>1300</v>
      </c>
      <c r="J106" s="26">
        <v>1300</v>
      </c>
      <c r="K106" s="27">
        <f t="shared" si="11"/>
        <v>1300</v>
      </c>
      <c r="M106"/>
    </row>
    <row r="107" spans="1:13">
      <c r="A107" s="9" t="s">
        <v>25</v>
      </c>
      <c r="B107" s="9" t="s">
        <v>34</v>
      </c>
      <c r="C107" s="9" t="s">
        <v>27</v>
      </c>
      <c r="D107" s="20" t="str">
        <f t="shared" si="10"/>
        <v>March</v>
      </c>
      <c r="E107" s="21">
        <v>45372</v>
      </c>
      <c r="F107" s="22">
        <f t="shared" si="12"/>
        <v>5</v>
      </c>
      <c r="G107" s="23">
        <f ca="1" t="shared" si="16"/>
        <v>45939</v>
      </c>
      <c r="H107" s="24">
        <v>8</v>
      </c>
      <c r="I107" s="25">
        <v>1092</v>
      </c>
      <c r="J107" s="26">
        <v>8736</v>
      </c>
      <c r="K107" s="27">
        <f t="shared" si="11"/>
        <v>1092</v>
      </c>
      <c r="M107"/>
    </row>
    <row r="108" spans="1:13">
      <c r="A108" s="9" t="s">
        <v>33</v>
      </c>
      <c r="B108" s="9" t="s">
        <v>34</v>
      </c>
      <c r="C108" s="9" t="s">
        <v>13</v>
      </c>
      <c r="D108" s="20" t="str">
        <f t="shared" si="10"/>
        <v>March</v>
      </c>
      <c r="E108" s="21">
        <v>45353</v>
      </c>
      <c r="F108" s="22">
        <f t="shared" si="12"/>
        <v>7</v>
      </c>
      <c r="G108" s="23">
        <f ca="1" t="shared" si="16"/>
        <v>45939</v>
      </c>
      <c r="H108" s="24">
        <v>6</v>
      </c>
      <c r="I108" s="25">
        <v>737</v>
      </c>
      <c r="J108" s="26">
        <v>4422</v>
      </c>
      <c r="K108" s="27">
        <f t="shared" si="11"/>
        <v>737</v>
      </c>
      <c r="M108"/>
    </row>
    <row r="109" spans="1:13">
      <c r="A109" s="9" t="s">
        <v>25</v>
      </c>
      <c r="B109" s="9" t="s">
        <v>20</v>
      </c>
      <c r="C109" s="9" t="s">
        <v>21</v>
      </c>
      <c r="D109" s="20" t="str">
        <f t="shared" si="10"/>
        <v>April</v>
      </c>
      <c r="E109" s="21">
        <v>45397</v>
      </c>
      <c r="F109" s="22">
        <f t="shared" si="12"/>
        <v>2</v>
      </c>
      <c r="G109" s="23">
        <f ca="1" t="shared" si="16"/>
        <v>45939</v>
      </c>
      <c r="H109" s="24">
        <v>6</v>
      </c>
      <c r="I109" s="25">
        <v>1093</v>
      </c>
      <c r="J109" s="26">
        <v>6558</v>
      </c>
      <c r="K109" s="27">
        <f t="shared" si="11"/>
        <v>1093</v>
      </c>
      <c r="M109"/>
    </row>
    <row r="110" spans="1:13">
      <c r="A110" s="9" t="s">
        <v>30</v>
      </c>
      <c r="B110" s="9" t="s">
        <v>20</v>
      </c>
      <c r="C110" s="9" t="s">
        <v>27</v>
      </c>
      <c r="D110" s="20" t="str">
        <f t="shared" si="10"/>
        <v>January</v>
      </c>
      <c r="E110" s="21">
        <v>45321</v>
      </c>
      <c r="F110" s="22">
        <f t="shared" si="12"/>
        <v>3</v>
      </c>
      <c r="G110" s="23">
        <f ca="1" t="shared" si="16"/>
        <v>45939</v>
      </c>
      <c r="H110" s="24">
        <v>10</v>
      </c>
      <c r="I110" s="25">
        <v>901</v>
      </c>
      <c r="J110" s="26">
        <v>9010</v>
      </c>
      <c r="K110" s="27">
        <f t="shared" si="11"/>
        <v>901</v>
      </c>
      <c r="M110"/>
    </row>
    <row r="111" spans="1:13">
      <c r="A111" s="9" t="s">
        <v>14</v>
      </c>
      <c r="B111" s="9" t="s">
        <v>12</v>
      </c>
      <c r="C111" s="9" t="s">
        <v>27</v>
      </c>
      <c r="D111" s="20" t="str">
        <f t="shared" si="10"/>
        <v>March</v>
      </c>
      <c r="E111" s="21">
        <v>45356</v>
      </c>
      <c r="F111" s="22">
        <f t="shared" si="12"/>
        <v>3</v>
      </c>
      <c r="G111" s="23">
        <f ca="1" t="shared" si="16"/>
        <v>45939</v>
      </c>
      <c r="H111" s="24">
        <v>10</v>
      </c>
      <c r="I111" s="25">
        <v>764</v>
      </c>
      <c r="J111" s="26">
        <v>7640</v>
      </c>
      <c r="K111" s="27">
        <f t="shared" si="11"/>
        <v>764</v>
      </c>
      <c r="M111"/>
    </row>
    <row r="112" spans="1:13">
      <c r="A112" s="9" t="s">
        <v>33</v>
      </c>
      <c r="B112" s="9" t="s">
        <v>18</v>
      </c>
      <c r="C112" s="9" t="s">
        <v>13</v>
      </c>
      <c r="D112" s="20" t="str">
        <f t="shared" si="10"/>
        <v>May</v>
      </c>
      <c r="E112" s="21">
        <v>45419</v>
      </c>
      <c r="F112" s="22">
        <f t="shared" si="12"/>
        <v>3</v>
      </c>
      <c r="G112" s="23">
        <f ca="1" t="shared" ref="G112:G121" si="17">TODAY()</f>
        <v>45939</v>
      </c>
      <c r="H112" s="24">
        <v>9</v>
      </c>
      <c r="I112" s="25">
        <v>1458</v>
      </c>
      <c r="J112" s="26">
        <v>13122</v>
      </c>
      <c r="K112" s="27">
        <f t="shared" si="11"/>
        <v>1458</v>
      </c>
      <c r="M112"/>
    </row>
    <row r="113" spans="1:13">
      <c r="A113" s="9" t="s">
        <v>19</v>
      </c>
      <c r="B113" s="9" t="s">
        <v>28</v>
      </c>
      <c r="C113" s="9" t="s">
        <v>24</v>
      </c>
      <c r="D113" s="20" t="str">
        <f t="shared" si="10"/>
        <v>February</v>
      </c>
      <c r="E113" s="21">
        <v>45349</v>
      </c>
      <c r="F113" s="22">
        <f t="shared" si="12"/>
        <v>3</v>
      </c>
      <c r="G113" s="23">
        <f ca="1" t="shared" si="17"/>
        <v>45939</v>
      </c>
      <c r="H113" s="24">
        <v>8</v>
      </c>
      <c r="I113" s="25">
        <v>847</v>
      </c>
      <c r="J113" s="26">
        <v>6776</v>
      </c>
      <c r="K113" s="27">
        <f t="shared" si="11"/>
        <v>847</v>
      </c>
      <c r="M113"/>
    </row>
    <row r="114" spans="1:13">
      <c r="A114" s="9" t="s">
        <v>33</v>
      </c>
      <c r="B114" s="9" t="s">
        <v>32</v>
      </c>
      <c r="C114" s="9" t="s">
        <v>13</v>
      </c>
      <c r="D114" s="20" t="str">
        <f t="shared" si="10"/>
        <v>May</v>
      </c>
      <c r="E114" s="21">
        <v>45424</v>
      </c>
      <c r="F114" s="22">
        <f t="shared" si="12"/>
        <v>1</v>
      </c>
      <c r="G114" s="23">
        <f ca="1" t="shared" si="17"/>
        <v>45939</v>
      </c>
      <c r="H114" s="24">
        <v>9</v>
      </c>
      <c r="I114" s="25">
        <v>671</v>
      </c>
      <c r="J114" s="26">
        <v>6039</v>
      </c>
      <c r="K114" s="27">
        <f t="shared" si="11"/>
        <v>671</v>
      </c>
      <c r="M114"/>
    </row>
    <row r="115" spans="1:13">
      <c r="A115" s="9" t="s">
        <v>31</v>
      </c>
      <c r="B115" s="9" t="s">
        <v>23</v>
      </c>
      <c r="C115" s="9" t="s">
        <v>13</v>
      </c>
      <c r="D115" s="20" t="str">
        <f t="shared" si="10"/>
        <v>April</v>
      </c>
      <c r="E115" s="21">
        <v>45400</v>
      </c>
      <c r="F115" s="22">
        <f t="shared" si="12"/>
        <v>5</v>
      </c>
      <c r="G115" s="23">
        <f ca="1" t="shared" si="17"/>
        <v>45939</v>
      </c>
      <c r="H115" s="24">
        <v>10</v>
      </c>
      <c r="I115" s="25">
        <v>762</v>
      </c>
      <c r="J115" s="26">
        <v>7620</v>
      </c>
      <c r="K115" s="27">
        <f t="shared" si="11"/>
        <v>762</v>
      </c>
      <c r="M115"/>
    </row>
    <row r="116" spans="1:13">
      <c r="A116" s="9" t="s">
        <v>22</v>
      </c>
      <c r="B116" s="9" t="s">
        <v>23</v>
      </c>
      <c r="C116" s="9" t="s">
        <v>27</v>
      </c>
      <c r="D116" s="20" t="str">
        <f t="shared" si="10"/>
        <v>February</v>
      </c>
      <c r="E116" s="21">
        <v>45347</v>
      </c>
      <c r="F116" s="22">
        <f t="shared" si="12"/>
        <v>1</v>
      </c>
      <c r="G116" s="23">
        <f ca="1" t="shared" si="17"/>
        <v>45939</v>
      </c>
      <c r="H116" s="24">
        <v>10</v>
      </c>
      <c r="I116" s="25">
        <v>651</v>
      </c>
      <c r="J116" s="26">
        <v>6510</v>
      </c>
      <c r="K116" s="27">
        <f t="shared" si="11"/>
        <v>651</v>
      </c>
      <c r="M116"/>
    </row>
    <row r="117" spans="1:13">
      <c r="A117" s="9" t="s">
        <v>25</v>
      </c>
      <c r="B117" s="9" t="s">
        <v>15</v>
      </c>
      <c r="C117" s="9" t="s">
        <v>21</v>
      </c>
      <c r="D117" s="20" t="str">
        <f t="shared" si="10"/>
        <v>March</v>
      </c>
      <c r="E117" s="21">
        <v>45376</v>
      </c>
      <c r="F117" s="22">
        <f t="shared" si="12"/>
        <v>2</v>
      </c>
      <c r="G117" s="23">
        <f ca="1" t="shared" si="17"/>
        <v>45939</v>
      </c>
      <c r="H117" s="24">
        <v>9</v>
      </c>
      <c r="I117" s="25">
        <v>308</v>
      </c>
      <c r="J117" s="26">
        <v>2772</v>
      </c>
      <c r="K117" s="27">
        <f t="shared" si="11"/>
        <v>308</v>
      </c>
      <c r="M117"/>
    </row>
    <row r="118" spans="1:13">
      <c r="A118" s="9" t="s">
        <v>17</v>
      </c>
      <c r="B118" s="9" t="s">
        <v>29</v>
      </c>
      <c r="C118" s="9" t="s">
        <v>21</v>
      </c>
      <c r="D118" s="20" t="str">
        <f t="shared" si="10"/>
        <v>February</v>
      </c>
      <c r="E118" s="21">
        <v>45341</v>
      </c>
      <c r="F118" s="22">
        <f t="shared" si="12"/>
        <v>2</v>
      </c>
      <c r="G118" s="23">
        <f ca="1" t="shared" si="17"/>
        <v>45939</v>
      </c>
      <c r="H118" s="24">
        <v>8</v>
      </c>
      <c r="I118" s="25">
        <v>1192</v>
      </c>
      <c r="J118" s="26">
        <v>9536</v>
      </c>
      <c r="K118" s="27">
        <f t="shared" si="11"/>
        <v>1192</v>
      </c>
      <c r="M118"/>
    </row>
    <row r="119" spans="1:13">
      <c r="A119" s="9" t="s">
        <v>33</v>
      </c>
      <c r="B119" s="9" t="s">
        <v>23</v>
      </c>
      <c r="C119" s="9" t="s">
        <v>21</v>
      </c>
      <c r="D119" s="20" t="str">
        <f t="shared" si="10"/>
        <v>June</v>
      </c>
      <c r="E119" s="21">
        <v>45458</v>
      </c>
      <c r="F119" s="22">
        <f t="shared" si="12"/>
        <v>7</v>
      </c>
      <c r="G119" s="23">
        <f ca="1" t="shared" si="17"/>
        <v>45939</v>
      </c>
      <c r="H119" s="24">
        <v>3</v>
      </c>
      <c r="I119" s="25">
        <v>337</v>
      </c>
      <c r="J119" s="26">
        <v>1011</v>
      </c>
      <c r="K119" s="27">
        <f t="shared" si="11"/>
        <v>337</v>
      </c>
      <c r="M119"/>
    </row>
    <row r="120" spans="1:13">
      <c r="A120" s="9" t="s">
        <v>22</v>
      </c>
      <c r="B120" s="9" t="s">
        <v>18</v>
      </c>
      <c r="C120" s="9" t="s">
        <v>27</v>
      </c>
      <c r="D120" s="20" t="str">
        <f t="shared" si="10"/>
        <v>May</v>
      </c>
      <c r="E120" s="21">
        <v>45436</v>
      </c>
      <c r="F120" s="22">
        <f t="shared" si="12"/>
        <v>6</v>
      </c>
      <c r="G120" s="23">
        <f ca="1" t="shared" si="17"/>
        <v>45939</v>
      </c>
      <c r="H120" s="24">
        <v>8</v>
      </c>
      <c r="I120" s="25">
        <v>445</v>
      </c>
      <c r="J120" s="26">
        <v>3560</v>
      </c>
      <c r="K120" s="27">
        <f t="shared" si="11"/>
        <v>445</v>
      </c>
      <c r="M120"/>
    </row>
    <row r="121" spans="1:13">
      <c r="A121" s="9" t="s">
        <v>11</v>
      </c>
      <c r="B121" s="9" t="s">
        <v>15</v>
      </c>
      <c r="C121" s="9" t="s">
        <v>13</v>
      </c>
      <c r="D121" s="20" t="str">
        <f t="shared" si="10"/>
        <v>April</v>
      </c>
      <c r="E121" s="21">
        <v>45383</v>
      </c>
      <c r="F121" s="22">
        <f t="shared" si="12"/>
        <v>2</v>
      </c>
      <c r="G121" s="23">
        <f ca="1" t="shared" si="17"/>
        <v>45939</v>
      </c>
      <c r="H121" s="24">
        <v>6</v>
      </c>
      <c r="I121" s="25">
        <v>954</v>
      </c>
      <c r="J121" s="26">
        <v>5724</v>
      </c>
      <c r="K121" s="27">
        <f t="shared" si="11"/>
        <v>954</v>
      </c>
      <c r="M121"/>
    </row>
    <row r="122" spans="1:13">
      <c r="A122" s="9" t="s">
        <v>19</v>
      </c>
      <c r="B122" s="9" t="s">
        <v>28</v>
      </c>
      <c r="C122" s="9" t="s">
        <v>27</v>
      </c>
      <c r="D122" s="20" t="str">
        <f t="shared" si="10"/>
        <v>January</v>
      </c>
      <c r="E122" s="21">
        <v>45315</v>
      </c>
      <c r="F122" s="22">
        <f t="shared" si="12"/>
        <v>4</v>
      </c>
      <c r="G122" s="23">
        <f ca="1" t="shared" ref="G122:G131" si="18">TODAY()</f>
        <v>45939</v>
      </c>
      <c r="H122" s="24">
        <v>5</v>
      </c>
      <c r="I122" s="25">
        <v>334</v>
      </c>
      <c r="J122" s="26">
        <v>1670</v>
      </c>
      <c r="K122" s="27">
        <f t="shared" si="11"/>
        <v>334</v>
      </c>
      <c r="M122"/>
    </row>
    <row r="123" spans="1:13">
      <c r="A123" s="9" t="s">
        <v>17</v>
      </c>
      <c r="B123" s="9" t="s">
        <v>20</v>
      </c>
      <c r="C123" s="9" t="s">
        <v>21</v>
      </c>
      <c r="D123" s="20" t="str">
        <f t="shared" si="10"/>
        <v>February</v>
      </c>
      <c r="E123" s="21">
        <v>45336</v>
      </c>
      <c r="F123" s="22">
        <f t="shared" si="12"/>
        <v>4</v>
      </c>
      <c r="G123" s="23">
        <f ca="1" t="shared" si="18"/>
        <v>45939</v>
      </c>
      <c r="H123" s="24">
        <v>6</v>
      </c>
      <c r="I123" s="25">
        <v>409</v>
      </c>
      <c r="J123" s="26">
        <v>2454</v>
      </c>
      <c r="K123" s="27">
        <f t="shared" si="11"/>
        <v>409</v>
      </c>
      <c r="M123"/>
    </row>
    <row r="124" spans="1:13">
      <c r="A124" s="9" t="s">
        <v>14</v>
      </c>
      <c r="B124" s="9" t="s">
        <v>34</v>
      </c>
      <c r="C124" s="9" t="s">
        <v>24</v>
      </c>
      <c r="D124" s="20" t="str">
        <f t="shared" si="10"/>
        <v>January</v>
      </c>
      <c r="E124" s="21">
        <v>45292</v>
      </c>
      <c r="F124" s="22">
        <f t="shared" si="12"/>
        <v>2</v>
      </c>
      <c r="G124" s="23">
        <f ca="1" t="shared" si="18"/>
        <v>45939</v>
      </c>
      <c r="H124" s="24">
        <v>9</v>
      </c>
      <c r="I124" s="25">
        <v>1394</v>
      </c>
      <c r="J124" s="26">
        <v>12546</v>
      </c>
      <c r="K124" s="27">
        <f t="shared" si="11"/>
        <v>1394</v>
      </c>
      <c r="M124"/>
    </row>
    <row r="125" spans="1:13">
      <c r="A125" s="9" t="s">
        <v>14</v>
      </c>
      <c r="B125" s="9" t="s">
        <v>28</v>
      </c>
      <c r="C125" s="9" t="s">
        <v>21</v>
      </c>
      <c r="D125" s="20" t="str">
        <f t="shared" si="10"/>
        <v>June</v>
      </c>
      <c r="E125" s="21">
        <v>45455</v>
      </c>
      <c r="F125" s="22">
        <f t="shared" si="12"/>
        <v>4</v>
      </c>
      <c r="G125" s="23">
        <f ca="1" t="shared" si="18"/>
        <v>45939</v>
      </c>
      <c r="H125" s="24">
        <v>7</v>
      </c>
      <c r="I125" s="25">
        <v>453</v>
      </c>
      <c r="J125" s="26">
        <v>3171</v>
      </c>
      <c r="K125" s="27">
        <f t="shared" si="11"/>
        <v>453</v>
      </c>
      <c r="M125"/>
    </row>
    <row r="126" spans="1:13">
      <c r="A126" s="9" t="s">
        <v>33</v>
      </c>
      <c r="B126" s="9" t="s">
        <v>23</v>
      </c>
      <c r="C126" s="9" t="s">
        <v>27</v>
      </c>
      <c r="D126" s="20" t="str">
        <f t="shared" si="10"/>
        <v>January</v>
      </c>
      <c r="E126" s="21">
        <v>45319</v>
      </c>
      <c r="F126" s="22">
        <f t="shared" si="12"/>
        <v>1</v>
      </c>
      <c r="G126" s="23">
        <f ca="1" t="shared" si="18"/>
        <v>45939</v>
      </c>
      <c r="H126" s="24">
        <v>2</v>
      </c>
      <c r="I126" s="25">
        <v>431</v>
      </c>
      <c r="J126" s="26">
        <v>862</v>
      </c>
      <c r="K126" s="27">
        <f t="shared" si="11"/>
        <v>431</v>
      </c>
      <c r="M126"/>
    </row>
    <row r="127" spans="1:13">
      <c r="A127" s="9" t="s">
        <v>19</v>
      </c>
      <c r="B127" s="9" t="s">
        <v>29</v>
      </c>
      <c r="C127" s="9" t="s">
        <v>13</v>
      </c>
      <c r="D127" s="20" t="str">
        <f t="shared" si="10"/>
        <v>March</v>
      </c>
      <c r="E127" s="21">
        <v>45354</v>
      </c>
      <c r="F127" s="22">
        <f t="shared" si="12"/>
        <v>1</v>
      </c>
      <c r="G127" s="23">
        <f ca="1" t="shared" si="18"/>
        <v>45939</v>
      </c>
      <c r="H127" s="24">
        <v>7</v>
      </c>
      <c r="I127" s="25">
        <v>1185</v>
      </c>
      <c r="J127" s="26">
        <v>8295</v>
      </c>
      <c r="K127" s="27">
        <f t="shared" si="11"/>
        <v>1185</v>
      </c>
      <c r="M127"/>
    </row>
    <row r="128" spans="1:13">
      <c r="A128" s="9" t="s">
        <v>14</v>
      </c>
      <c r="B128" s="9" t="s">
        <v>12</v>
      </c>
      <c r="C128" s="9" t="s">
        <v>21</v>
      </c>
      <c r="D128" s="20" t="str">
        <f t="shared" si="10"/>
        <v>February</v>
      </c>
      <c r="E128" s="21">
        <v>45346</v>
      </c>
      <c r="F128" s="22">
        <f t="shared" si="12"/>
        <v>7</v>
      </c>
      <c r="G128" s="23">
        <f ca="1" t="shared" si="18"/>
        <v>45939</v>
      </c>
      <c r="H128" s="24">
        <v>8</v>
      </c>
      <c r="I128" s="25">
        <v>410</v>
      </c>
      <c r="J128" s="26">
        <v>3280</v>
      </c>
      <c r="K128" s="27">
        <f t="shared" si="11"/>
        <v>410</v>
      </c>
      <c r="M128"/>
    </row>
    <row r="129" spans="1:13">
      <c r="A129" s="9" t="s">
        <v>30</v>
      </c>
      <c r="B129" s="9" t="s">
        <v>32</v>
      </c>
      <c r="C129" s="9" t="s">
        <v>24</v>
      </c>
      <c r="D129" s="20" t="str">
        <f t="shared" si="10"/>
        <v>June</v>
      </c>
      <c r="E129" s="21">
        <v>45450</v>
      </c>
      <c r="F129" s="22">
        <f t="shared" si="12"/>
        <v>6</v>
      </c>
      <c r="G129" s="23">
        <f ca="1" t="shared" si="18"/>
        <v>45939</v>
      </c>
      <c r="H129" s="24">
        <v>9</v>
      </c>
      <c r="I129" s="25">
        <v>346</v>
      </c>
      <c r="J129" s="26">
        <v>3114</v>
      </c>
      <c r="K129" s="27">
        <f t="shared" si="11"/>
        <v>346</v>
      </c>
      <c r="M129"/>
    </row>
    <row r="130" spans="1:13">
      <c r="A130" s="9" t="s">
        <v>22</v>
      </c>
      <c r="B130" s="9" t="s">
        <v>12</v>
      </c>
      <c r="C130" s="9" t="s">
        <v>21</v>
      </c>
      <c r="D130" s="20" t="str">
        <f t="shared" ref="D130:D193" si="19">TEXT(E130,"mmmm")</f>
        <v>May</v>
      </c>
      <c r="E130" s="21">
        <v>45436</v>
      </c>
      <c r="F130" s="22">
        <f t="shared" si="12"/>
        <v>6</v>
      </c>
      <c r="G130" s="23">
        <f ca="1" t="shared" si="18"/>
        <v>45939</v>
      </c>
      <c r="H130" s="24">
        <v>6</v>
      </c>
      <c r="I130" s="25">
        <v>644</v>
      </c>
      <c r="J130" s="26">
        <v>3864</v>
      </c>
      <c r="K130" s="27">
        <f t="shared" ref="K130:K193" si="20">J130/H130</f>
        <v>644</v>
      </c>
      <c r="M130"/>
    </row>
    <row r="131" spans="1:13">
      <c r="A131" s="9" t="s">
        <v>14</v>
      </c>
      <c r="B131" s="9" t="s">
        <v>15</v>
      </c>
      <c r="C131" s="9" t="s">
        <v>13</v>
      </c>
      <c r="D131" s="20" t="str">
        <f t="shared" si="19"/>
        <v>February</v>
      </c>
      <c r="E131" s="21">
        <v>45338</v>
      </c>
      <c r="F131" s="22">
        <f t="shared" ref="F131:F194" si="21">WEEKDAY(E131,1)</f>
        <v>6</v>
      </c>
      <c r="G131" s="23">
        <f ca="1" t="shared" si="18"/>
        <v>45939</v>
      </c>
      <c r="H131" s="24">
        <v>10</v>
      </c>
      <c r="I131" s="25">
        <v>574</v>
      </c>
      <c r="J131" s="26">
        <v>5740</v>
      </c>
      <c r="K131" s="27">
        <f t="shared" si="20"/>
        <v>574</v>
      </c>
      <c r="M131"/>
    </row>
    <row r="132" spans="1:13">
      <c r="A132" s="9" t="s">
        <v>17</v>
      </c>
      <c r="B132" s="9" t="s">
        <v>26</v>
      </c>
      <c r="C132" s="9" t="s">
        <v>13</v>
      </c>
      <c r="D132" s="20" t="str">
        <f t="shared" si="19"/>
        <v>January</v>
      </c>
      <c r="E132" s="21">
        <v>45298</v>
      </c>
      <c r="F132" s="22">
        <f t="shared" si="21"/>
        <v>1</v>
      </c>
      <c r="G132" s="23">
        <f ca="1" t="shared" ref="G132:G141" si="22">TODAY()</f>
        <v>45939</v>
      </c>
      <c r="H132" s="24">
        <v>4</v>
      </c>
      <c r="I132" s="25">
        <v>761</v>
      </c>
      <c r="J132" s="26">
        <v>3044</v>
      </c>
      <c r="K132" s="27">
        <f t="shared" si="20"/>
        <v>761</v>
      </c>
      <c r="M132"/>
    </row>
    <row r="133" spans="1:13">
      <c r="A133" s="9" t="s">
        <v>30</v>
      </c>
      <c r="B133" s="9" t="s">
        <v>12</v>
      </c>
      <c r="C133" s="9" t="s">
        <v>24</v>
      </c>
      <c r="D133" s="20" t="str">
        <f t="shared" si="19"/>
        <v>March</v>
      </c>
      <c r="E133" s="21">
        <v>45353</v>
      </c>
      <c r="F133" s="22">
        <f t="shared" si="21"/>
        <v>7</v>
      </c>
      <c r="G133" s="23">
        <f ca="1" t="shared" si="22"/>
        <v>45939</v>
      </c>
      <c r="H133" s="24">
        <v>9</v>
      </c>
      <c r="I133" s="25">
        <v>548</v>
      </c>
      <c r="J133" s="26">
        <v>4932</v>
      </c>
      <c r="K133" s="27">
        <f t="shared" si="20"/>
        <v>548</v>
      </c>
      <c r="M133"/>
    </row>
    <row r="134" spans="1:13">
      <c r="A134" s="9" t="s">
        <v>11</v>
      </c>
      <c r="B134" s="9" t="s">
        <v>23</v>
      </c>
      <c r="C134" s="9" t="s">
        <v>24</v>
      </c>
      <c r="D134" s="20" t="str">
        <f t="shared" si="19"/>
        <v>March</v>
      </c>
      <c r="E134" s="21">
        <v>45360</v>
      </c>
      <c r="F134" s="22">
        <f t="shared" si="21"/>
        <v>7</v>
      </c>
      <c r="G134" s="23">
        <f ca="1" t="shared" si="22"/>
        <v>45939</v>
      </c>
      <c r="H134" s="24">
        <v>4</v>
      </c>
      <c r="I134" s="25">
        <v>535</v>
      </c>
      <c r="J134" s="26">
        <v>2140</v>
      </c>
      <c r="K134" s="27">
        <f t="shared" si="20"/>
        <v>535</v>
      </c>
      <c r="M134"/>
    </row>
    <row r="135" spans="1:13">
      <c r="A135" s="9" t="s">
        <v>30</v>
      </c>
      <c r="B135" s="9" t="s">
        <v>15</v>
      </c>
      <c r="C135" s="9" t="s">
        <v>27</v>
      </c>
      <c r="D135" s="20" t="str">
        <f t="shared" si="19"/>
        <v>June</v>
      </c>
      <c r="E135" s="21">
        <v>45472</v>
      </c>
      <c r="F135" s="22">
        <f t="shared" si="21"/>
        <v>7</v>
      </c>
      <c r="G135" s="23">
        <f ca="1" t="shared" si="22"/>
        <v>45939</v>
      </c>
      <c r="H135" s="24">
        <v>9</v>
      </c>
      <c r="I135" s="25">
        <v>1088</v>
      </c>
      <c r="J135" s="26">
        <v>9792</v>
      </c>
      <c r="K135" s="27">
        <f t="shared" si="20"/>
        <v>1088</v>
      </c>
      <c r="M135"/>
    </row>
    <row r="136" spans="1:13">
      <c r="A136" s="9" t="s">
        <v>33</v>
      </c>
      <c r="B136" s="9" t="s">
        <v>32</v>
      </c>
      <c r="C136" s="9" t="s">
        <v>27</v>
      </c>
      <c r="D136" s="20" t="str">
        <f t="shared" si="19"/>
        <v>April</v>
      </c>
      <c r="E136" s="21">
        <v>45407</v>
      </c>
      <c r="F136" s="22">
        <f t="shared" si="21"/>
        <v>5</v>
      </c>
      <c r="G136" s="23">
        <f ca="1" t="shared" si="22"/>
        <v>45939</v>
      </c>
      <c r="H136" s="24">
        <v>3</v>
      </c>
      <c r="I136" s="25">
        <v>504</v>
      </c>
      <c r="J136" s="26">
        <v>1512</v>
      </c>
      <c r="K136" s="27">
        <f t="shared" si="20"/>
        <v>504</v>
      </c>
      <c r="M136"/>
    </row>
    <row r="137" spans="1:13">
      <c r="A137" s="9" t="s">
        <v>22</v>
      </c>
      <c r="B137" s="9" t="s">
        <v>12</v>
      </c>
      <c r="C137" s="9" t="s">
        <v>13</v>
      </c>
      <c r="D137" s="20" t="str">
        <f t="shared" si="19"/>
        <v>April</v>
      </c>
      <c r="E137" s="21">
        <v>45387</v>
      </c>
      <c r="F137" s="22">
        <f t="shared" si="21"/>
        <v>6</v>
      </c>
      <c r="G137" s="23">
        <f ca="1" t="shared" si="22"/>
        <v>45939</v>
      </c>
      <c r="H137" s="24">
        <v>8</v>
      </c>
      <c r="I137" s="25">
        <v>1217</v>
      </c>
      <c r="J137" s="26">
        <v>9736</v>
      </c>
      <c r="K137" s="27">
        <f t="shared" si="20"/>
        <v>1217</v>
      </c>
      <c r="M137"/>
    </row>
    <row r="138" spans="1:13">
      <c r="A138" s="9" t="s">
        <v>31</v>
      </c>
      <c r="B138" s="9" t="s">
        <v>20</v>
      </c>
      <c r="C138" s="9" t="s">
        <v>13</v>
      </c>
      <c r="D138" s="20" t="str">
        <f t="shared" si="19"/>
        <v>April</v>
      </c>
      <c r="E138" s="21">
        <v>45392</v>
      </c>
      <c r="F138" s="22">
        <f t="shared" si="21"/>
        <v>4</v>
      </c>
      <c r="G138" s="23">
        <f ca="1" t="shared" si="22"/>
        <v>45939</v>
      </c>
      <c r="H138" s="24">
        <v>10</v>
      </c>
      <c r="I138" s="25">
        <v>803</v>
      </c>
      <c r="J138" s="26">
        <v>8030</v>
      </c>
      <c r="K138" s="27">
        <f t="shared" si="20"/>
        <v>803</v>
      </c>
      <c r="M138"/>
    </row>
    <row r="139" spans="1:13">
      <c r="A139" s="9" t="s">
        <v>14</v>
      </c>
      <c r="B139" s="9" t="s">
        <v>20</v>
      </c>
      <c r="C139" s="9" t="s">
        <v>13</v>
      </c>
      <c r="D139" s="20" t="str">
        <f t="shared" si="19"/>
        <v>February</v>
      </c>
      <c r="E139" s="21">
        <v>45329</v>
      </c>
      <c r="F139" s="22">
        <f t="shared" si="21"/>
        <v>4</v>
      </c>
      <c r="G139" s="23">
        <f ca="1" t="shared" si="22"/>
        <v>45939</v>
      </c>
      <c r="H139" s="24">
        <v>3</v>
      </c>
      <c r="I139" s="25">
        <v>775</v>
      </c>
      <c r="J139" s="26">
        <v>2325</v>
      </c>
      <c r="K139" s="27">
        <f t="shared" si="20"/>
        <v>775</v>
      </c>
      <c r="M139"/>
    </row>
    <row r="140" spans="1:13">
      <c r="A140" s="9" t="s">
        <v>16</v>
      </c>
      <c r="B140" s="9" t="s">
        <v>18</v>
      </c>
      <c r="C140" s="9" t="s">
        <v>24</v>
      </c>
      <c r="D140" s="20" t="str">
        <f t="shared" si="19"/>
        <v>March</v>
      </c>
      <c r="E140" s="21">
        <v>45356</v>
      </c>
      <c r="F140" s="22">
        <f t="shared" si="21"/>
        <v>3</v>
      </c>
      <c r="G140" s="23">
        <f ca="1" t="shared" si="22"/>
        <v>45939</v>
      </c>
      <c r="H140" s="24">
        <v>2</v>
      </c>
      <c r="I140" s="25">
        <v>799</v>
      </c>
      <c r="J140" s="26">
        <v>1598</v>
      </c>
      <c r="K140" s="27">
        <f t="shared" si="20"/>
        <v>799</v>
      </c>
      <c r="M140"/>
    </row>
    <row r="141" spans="1:13">
      <c r="A141" s="9" t="s">
        <v>22</v>
      </c>
      <c r="B141" s="9" t="s">
        <v>34</v>
      </c>
      <c r="C141" s="9" t="s">
        <v>24</v>
      </c>
      <c r="D141" s="20" t="str">
        <f t="shared" si="19"/>
        <v>April</v>
      </c>
      <c r="E141" s="21">
        <v>45384</v>
      </c>
      <c r="F141" s="22">
        <f t="shared" si="21"/>
        <v>3</v>
      </c>
      <c r="G141" s="23">
        <f ca="1" t="shared" si="22"/>
        <v>45939</v>
      </c>
      <c r="H141" s="24">
        <v>7</v>
      </c>
      <c r="I141" s="25">
        <v>1269</v>
      </c>
      <c r="J141" s="26">
        <v>8883</v>
      </c>
      <c r="K141" s="27">
        <f t="shared" si="20"/>
        <v>1269</v>
      </c>
      <c r="M141"/>
    </row>
    <row r="142" spans="1:13">
      <c r="A142" s="9" t="s">
        <v>17</v>
      </c>
      <c r="B142" s="9" t="s">
        <v>26</v>
      </c>
      <c r="C142" s="9" t="s">
        <v>21</v>
      </c>
      <c r="D142" s="20" t="str">
        <f t="shared" si="19"/>
        <v>February</v>
      </c>
      <c r="E142" s="21">
        <v>45348</v>
      </c>
      <c r="F142" s="22">
        <f t="shared" si="21"/>
        <v>2</v>
      </c>
      <c r="G142" s="23">
        <f ca="1" t="shared" ref="G142:G151" si="23">TODAY()</f>
        <v>45939</v>
      </c>
      <c r="H142" s="24">
        <v>7</v>
      </c>
      <c r="I142" s="25">
        <v>1153</v>
      </c>
      <c r="J142" s="26">
        <v>8071</v>
      </c>
      <c r="K142" s="27">
        <f t="shared" si="20"/>
        <v>1153</v>
      </c>
      <c r="M142"/>
    </row>
    <row r="143" spans="1:13">
      <c r="A143" s="9" t="s">
        <v>30</v>
      </c>
      <c r="B143" s="9" t="s">
        <v>20</v>
      </c>
      <c r="C143" s="9" t="s">
        <v>13</v>
      </c>
      <c r="D143" s="20" t="str">
        <f t="shared" si="19"/>
        <v>May</v>
      </c>
      <c r="E143" s="21">
        <v>45440</v>
      </c>
      <c r="F143" s="22">
        <f t="shared" si="21"/>
        <v>3</v>
      </c>
      <c r="G143" s="23">
        <f ca="1" t="shared" si="23"/>
        <v>45939</v>
      </c>
      <c r="H143" s="24">
        <v>5</v>
      </c>
      <c r="I143" s="25">
        <v>991</v>
      </c>
      <c r="J143" s="26">
        <v>4955</v>
      </c>
      <c r="K143" s="27">
        <f t="shared" si="20"/>
        <v>991</v>
      </c>
      <c r="M143"/>
    </row>
    <row r="144" spans="1:13">
      <c r="A144" s="9" t="s">
        <v>19</v>
      </c>
      <c r="B144" s="9" t="s">
        <v>20</v>
      </c>
      <c r="C144" s="9" t="s">
        <v>13</v>
      </c>
      <c r="D144" s="20" t="str">
        <f t="shared" si="19"/>
        <v>April</v>
      </c>
      <c r="E144" s="21">
        <v>45389</v>
      </c>
      <c r="F144" s="22">
        <f t="shared" si="21"/>
        <v>1</v>
      </c>
      <c r="G144" s="23">
        <f ca="1" t="shared" si="23"/>
        <v>45939</v>
      </c>
      <c r="H144" s="24">
        <v>6</v>
      </c>
      <c r="I144" s="25">
        <v>1278</v>
      </c>
      <c r="J144" s="26">
        <v>7668</v>
      </c>
      <c r="K144" s="27">
        <f t="shared" si="20"/>
        <v>1278</v>
      </c>
      <c r="M144"/>
    </row>
    <row r="145" spans="1:13">
      <c r="A145" s="9" t="s">
        <v>17</v>
      </c>
      <c r="B145" s="9" t="s">
        <v>34</v>
      </c>
      <c r="C145" s="9" t="s">
        <v>27</v>
      </c>
      <c r="D145" s="20" t="str">
        <f t="shared" si="19"/>
        <v>March</v>
      </c>
      <c r="E145" s="21">
        <v>45364</v>
      </c>
      <c r="F145" s="22">
        <f t="shared" si="21"/>
        <v>4</v>
      </c>
      <c r="G145" s="23">
        <f ca="1" t="shared" si="23"/>
        <v>45939</v>
      </c>
      <c r="H145" s="24">
        <v>6</v>
      </c>
      <c r="I145" s="25">
        <v>1192</v>
      </c>
      <c r="J145" s="26">
        <v>7152</v>
      </c>
      <c r="K145" s="27">
        <f t="shared" si="20"/>
        <v>1192</v>
      </c>
      <c r="M145"/>
    </row>
    <row r="146" spans="1:13">
      <c r="A146" s="9" t="s">
        <v>25</v>
      </c>
      <c r="B146" s="9" t="s">
        <v>23</v>
      </c>
      <c r="C146" s="9" t="s">
        <v>21</v>
      </c>
      <c r="D146" s="20" t="str">
        <f t="shared" si="19"/>
        <v>February</v>
      </c>
      <c r="E146" s="21">
        <v>45326</v>
      </c>
      <c r="F146" s="22">
        <f t="shared" si="21"/>
        <v>1</v>
      </c>
      <c r="G146" s="23">
        <f ca="1" t="shared" si="23"/>
        <v>45939</v>
      </c>
      <c r="H146" s="24">
        <v>3</v>
      </c>
      <c r="I146" s="25">
        <v>1318</v>
      </c>
      <c r="J146" s="26">
        <v>3954</v>
      </c>
      <c r="K146" s="27">
        <f t="shared" si="20"/>
        <v>1318</v>
      </c>
      <c r="M146"/>
    </row>
    <row r="147" spans="1:13">
      <c r="A147" s="9" t="s">
        <v>33</v>
      </c>
      <c r="B147" s="9" t="s">
        <v>12</v>
      </c>
      <c r="C147" s="9" t="s">
        <v>24</v>
      </c>
      <c r="D147" s="20" t="str">
        <f t="shared" si="19"/>
        <v>January</v>
      </c>
      <c r="E147" s="21">
        <v>45309</v>
      </c>
      <c r="F147" s="22">
        <f t="shared" si="21"/>
        <v>5</v>
      </c>
      <c r="G147" s="23">
        <f ca="1" t="shared" si="23"/>
        <v>45939</v>
      </c>
      <c r="H147" s="24">
        <v>10</v>
      </c>
      <c r="I147" s="25">
        <v>931</v>
      </c>
      <c r="J147" s="26">
        <v>9310</v>
      </c>
      <c r="K147" s="27">
        <f t="shared" si="20"/>
        <v>931</v>
      </c>
      <c r="M147"/>
    </row>
    <row r="148" spans="1:13">
      <c r="A148" s="9" t="s">
        <v>25</v>
      </c>
      <c r="B148" s="9" t="s">
        <v>26</v>
      </c>
      <c r="C148" s="9" t="s">
        <v>21</v>
      </c>
      <c r="D148" s="20" t="str">
        <f t="shared" si="19"/>
        <v>January</v>
      </c>
      <c r="E148" s="21">
        <v>45314</v>
      </c>
      <c r="F148" s="22">
        <f t="shared" si="21"/>
        <v>3</v>
      </c>
      <c r="G148" s="23">
        <f ca="1" t="shared" si="23"/>
        <v>45939</v>
      </c>
      <c r="H148" s="24">
        <v>10</v>
      </c>
      <c r="I148" s="25">
        <v>711</v>
      </c>
      <c r="J148" s="26">
        <v>7110</v>
      </c>
      <c r="K148" s="27">
        <f t="shared" si="20"/>
        <v>711</v>
      </c>
      <c r="M148"/>
    </row>
    <row r="149" spans="1:13">
      <c r="A149" s="9" t="s">
        <v>19</v>
      </c>
      <c r="B149" s="9" t="s">
        <v>18</v>
      </c>
      <c r="C149" s="9" t="s">
        <v>27</v>
      </c>
      <c r="D149" s="20" t="str">
        <f t="shared" si="19"/>
        <v>January</v>
      </c>
      <c r="E149" s="21">
        <v>45294</v>
      </c>
      <c r="F149" s="22">
        <f t="shared" si="21"/>
        <v>4</v>
      </c>
      <c r="G149" s="23">
        <f ca="1" t="shared" si="23"/>
        <v>45939</v>
      </c>
      <c r="H149" s="24">
        <v>6</v>
      </c>
      <c r="I149" s="25">
        <v>1154</v>
      </c>
      <c r="J149" s="26">
        <v>6924</v>
      </c>
      <c r="K149" s="27">
        <f t="shared" si="20"/>
        <v>1154</v>
      </c>
      <c r="M149"/>
    </row>
    <row r="150" spans="1:13">
      <c r="A150" s="9" t="s">
        <v>11</v>
      </c>
      <c r="B150" s="9" t="s">
        <v>23</v>
      </c>
      <c r="C150" s="9" t="s">
        <v>27</v>
      </c>
      <c r="D150" s="20" t="str">
        <f t="shared" si="19"/>
        <v>June</v>
      </c>
      <c r="E150" s="21">
        <v>45456</v>
      </c>
      <c r="F150" s="22">
        <f t="shared" si="21"/>
        <v>5</v>
      </c>
      <c r="G150" s="23">
        <f ca="1" t="shared" si="23"/>
        <v>45939</v>
      </c>
      <c r="H150" s="24">
        <v>2</v>
      </c>
      <c r="I150" s="25">
        <v>1357</v>
      </c>
      <c r="J150" s="26">
        <v>2714</v>
      </c>
      <c r="K150" s="27">
        <f t="shared" si="20"/>
        <v>1357</v>
      </c>
      <c r="M150"/>
    </row>
    <row r="151" spans="1:13">
      <c r="A151" s="9" t="s">
        <v>25</v>
      </c>
      <c r="B151" s="9" t="s">
        <v>32</v>
      </c>
      <c r="C151" s="9" t="s">
        <v>27</v>
      </c>
      <c r="D151" s="20" t="str">
        <f t="shared" si="19"/>
        <v>April</v>
      </c>
      <c r="E151" s="21">
        <v>45407</v>
      </c>
      <c r="F151" s="22">
        <f t="shared" si="21"/>
        <v>5</v>
      </c>
      <c r="G151" s="23">
        <f ca="1" t="shared" si="23"/>
        <v>45939</v>
      </c>
      <c r="H151" s="24">
        <v>3</v>
      </c>
      <c r="I151" s="25">
        <v>1100</v>
      </c>
      <c r="J151" s="26">
        <v>3300</v>
      </c>
      <c r="K151" s="27">
        <f t="shared" si="20"/>
        <v>1100</v>
      </c>
      <c r="M151"/>
    </row>
    <row r="152" spans="1:13">
      <c r="A152" s="9" t="s">
        <v>22</v>
      </c>
      <c r="B152" s="9" t="s">
        <v>34</v>
      </c>
      <c r="C152" s="9" t="s">
        <v>24</v>
      </c>
      <c r="D152" s="20" t="str">
        <f t="shared" si="19"/>
        <v>May</v>
      </c>
      <c r="E152" s="21">
        <v>45424</v>
      </c>
      <c r="F152" s="22">
        <f t="shared" si="21"/>
        <v>1</v>
      </c>
      <c r="G152" s="23">
        <f ca="1" t="shared" ref="G152:G161" si="24">TODAY()</f>
        <v>45939</v>
      </c>
      <c r="H152" s="24">
        <v>9</v>
      </c>
      <c r="I152" s="25">
        <v>833</v>
      </c>
      <c r="J152" s="26">
        <v>7497</v>
      </c>
      <c r="K152" s="27">
        <f t="shared" si="20"/>
        <v>833</v>
      </c>
      <c r="M152"/>
    </row>
    <row r="153" spans="1:13">
      <c r="A153" s="9" t="s">
        <v>31</v>
      </c>
      <c r="B153" s="9" t="s">
        <v>32</v>
      </c>
      <c r="C153" s="9" t="s">
        <v>24</v>
      </c>
      <c r="D153" s="20" t="str">
        <f t="shared" si="19"/>
        <v>June</v>
      </c>
      <c r="E153" s="21">
        <v>45449</v>
      </c>
      <c r="F153" s="22">
        <f t="shared" si="21"/>
        <v>5</v>
      </c>
      <c r="G153" s="23">
        <f ca="1" t="shared" si="24"/>
        <v>45939</v>
      </c>
      <c r="H153" s="24">
        <v>1</v>
      </c>
      <c r="I153" s="25">
        <v>1118</v>
      </c>
      <c r="J153" s="26">
        <v>1118</v>
      </c>
      <c r="K153" s="27">
        <f t="shared" si="20"/>
        <v>1118</v>
      </c>
      <c r="M153"/>
    </row>
    <row r="154" spans="1:13">
      <c r="A154" s="9" t="s">
        <v>17</v>
      </c>
      <c r="B154" s="9" t="s">
        <v>29</v>
      </c>
      <c r="C154" s="9" t="s">
        <v>27</v>
      </c>
      <c r="D154" s="20" t="str">
        <f t="shared" si="19"/>
        <v>June</v>
      </c>
      <c r="E154" s="21">
        <v>45456</v>
      </c>
      <c r="F154" s="22">
        <f t="shared" si="21"/>
        <v>5</v>
      </c>
      <c r="G154" s="23">
        <f ca="1" t="shared" si="24"/>
        <v>45939</v>
      </c>
      <c r="H154" s="24">
        <v>9</v>
      </c>
      <c r="I154" s="25">
        <v>1195</v>
      </c>
      <c r="J154" s="26">
        <v>10755</v>
      </c>
      <c r="K154" s="27">
        <f t="shared" si="20"/>
        <v>1195</v>
      </c>
      <c r="M154"/>
    </row>
    <row r="155" spans="1:13">
      <c r="A155" s="9" t="s">
        <v>31</v>
      </c>
      <c r="B155" s="9" t="s">
        <v>18</v>
      </c>
      <c r="C155" s="9" t="s">
        <v>24</v>
      </c>
      <c r="D155" s="20" t="str">
        <f t="shared" si="19"/>
        <v>March</v>
      </c>
      <c r="E155" s="21">
        <v>45363</v>
      </c>
      <c r="F155" s="22">
        <f t="shared" si="21"/>
        <v>3</v>
      </c>
      <c r="G155" s="23">
        <f ca="1" t="shared" si="24"/>
        <v>45939</v>
      </c>
      <c r="H155" s="24">
        <v>8</v>
      </c>
      <c r="I155" s="25">
        <v>523</v>
      </c>
      <c r="J155" s="26">
        <v>4184</v>
      </c>
      <c r="K155" s="27">
        <f t="shared" si="20"/>
        <v>523</v>
      </c>
      <c r="M155"/>
    </row>
    <row r="156" spans="1:13">
      <c r="A156" s="9" t="s">
        <v>16</v>
      </c>
      <c r="B156" s="9" t="s">
        <v>12</v>
      </c>
      <c r="C156" s="9" t="s">
        <v>24</v>
      </c>
      <c r="D156" s="20" t="str">
        <f t="shared" si="19"/>
        <v>January</v>
      </c>
      <c r="E156" s="21">
        <v>45312</v>
      </c>
      <c r="F156" s="22">
        <f t="shared" si="21"/>
        <v>1</v>
      </c>
      <c r="G156" s="23">
        <f ca="1" t="shared" si="24"/>
        <v>45939</v>
      </c>
      <c r="H156" s="24">
        <v>10</v>
      </c>
      <c r="I156" s="25">
        <v>1267</v>
      </c>
      <c r="J156" s="26">
        <v>12670</v>
      </c>
      <c r="K156" s="27">
        <f t="shared" si="20"/>
        <v>1267</v>
      </c>
      <c r="M156"/>
    </row>
    <row r="157" spans="1:13">
      <c r="A157" s="9" t="s">
        <v>31</v>
      </c>
      <c r="B157" s="9" t="s">
        <v>26</v>
      </c>
      <c r="C157" s="9" t="s">
        <v>24</v>
      </c>
      <c r="D157" s="20" t="str">
        <f t="shared" si="19"/>
        <v>June</v>
      </c>
      <c r="E157" s="21">
        <v>45444</v>
      </c>
      <c r="F157" s="22">
        <f t="shared" si="21"/>
        <v>7</v>
      </c>
      <c r="G157" s="23">
        <f ca="1" t="shared" si="24"/>
        <v>45939</v>
      </c>
      <c r="H157" s="24">
        <v>9</v>
      </c>
      <c r="I157" s="25">
        <v>1278</v>
      </c>
      <c r="J157" s="26">
        <v>11502</v>
      </c>
      <c r="K157" s="27">
        <f t="shared" si="20"/>
        <v>1278</v>
      </c>
      <c r="M157"/>
    </row>
    <row r="158" spans="1:13">
      <c r="A158" s="9" t="s">
        <v>14</v>
      </c>
      <c r="B158" s="9" t="s">
        <v>12</v>
      </c>
      <c r="C158" s="9" t="s">
        <v>13</v>
      </c>
      <c r="D158" s="20" t="str">
        <f t="shared" si="19"/>
        <v>May</v>
      </c>
      <c r="E158" s="21">
        <v>45437</v>
      </c>
      <c r="F158" s="22">
        <f t="shared" si="21"/>
        <v>7</v>
      </c>
      <c r="G158" s="23">
        <f ca="1" t="shared" si="24"/>
        <v>45939</v>
      </c>
      <c r="H158" s="24">
        <v>7</v>
      </c>
      <c r="I158" s="25">
        <v>1297</v>
      </c>
      <c r="J158" s="26">
        <v>9079</v>
      </c>
      <c r="K158" s="27">
        <f t="shared" si="20"/>
        <v>1297</v>
      </c>
      <c r="M158"/>
    </row>
    <row r="159" spans="1:13">
      <c r="A159" s="9" t="s">
        <v>19</v>
      </c>
      <c r="B159" s="9" t="s">
        <v>32</v>
      </c>
      <c r="C159" s="9" t="s">
        <v>27</v>
      </c>
      <c r="D159" s="20" t="str">
        <f t="shared" si="19"/>
        <v>February</v>
      </c>
      <c r="E159" s="21">
        <v>45333</v>
      </c>
      <c r="F159" s="22">
        <f t="shared" si="21"/>
        <v>1</v>
      </c>
      <c r="G159" s="23">
        <f ca="1" t="shared" si="24"/>
        <v>45939</v>
      </c>
      <c r="H159" s="24">
        <v>9</v>
      </c>
      <c r="I159" s="25">
        <v>1433</v>
      </c>
      <c r="J159" s="26">
        <v>12897</v>
      </c>
      <c r="K159" s="27">
        <f t="shared" si="20"/>
        <v>1433</v>
      </c>
      <c r="M159"/>
    </row>
    <row r="160" spans="1:13">
      <c r="A160" s="9" t="s">
        <v>11</v>
      </c>
      <c r="B160" s="9" t="s">
        <v>28</v>
      </c>
      <c r="C160" s="9" t="s">
        <v>24</v>
      </c>
      <c r="D160" s="20" t="str">
        <f t="shared" si="19"/>
        <v>April</v>
      </c>
      <c r="E160" s="21">
        <v>45388</v>
      </c>
      <c r="F160" s="22">
        <f t="shared" si="21"/>
        <v>7</v>
      </c>
      <c r="G160" s="23">
        <f ca="1" t="shared" si="24"/>
        <v>45939</v>
      </c>
      <c r="H160" s="24">
        <v>6</v>
      </c>
      <c r="I160" s="25">
        <v>361</v>
      </c>
      <c r="J160" s="26">
        <v>2166</v>
      </c>
      <c r="K160" s="27">
        <f t="shared" si="20"/>
        <v>361</v>
      </c>
      <c r="M160"/>
    </row>
    <row r="161" spans="1:13">
      <c r="A161" s="9" t="s">
        <v>22</v>
      </c>
      <c r="B161" s="9" t="s">
        <v>32</v>
      </c>
      <c r="C161" s="9" t="s">
        <v>27</v>
      </c>
      <c r="D161" s="20" t="str">
        <f t="shared" si="19"/>
        <v>June</v>
      </c>
      <c r="E161" s="21">
        <v>45450</v>
      </c>
      <c r="F161" s="22">
        <f t="shared" si="21"/>
        <v>6</v>
      </c>
      <c r="G161" s="23">
        <f ca="1" t="shared" si="24"/>
        <v>45939</v>
      </c>
      <c r="H161" s="24">
        <v>4</v>
      </c>
      <c r="I161" s="25">
        <v>1248</v>
      </c>
      <c r="J161" s="26">
        <v>4992</v>
      </c>
      <c r="K161" s="27">
        <f t="shared" si="20"/>
        <v>1248</v>
      </c>
      <c r="M161"/>
    </row>
    <row r="162" spans="1:13">
      <c r="A162" s="9" t="s">
        <v>30</v>
      </c>
      <c r="B162" s="9" t="s">
        <v>18</v>
      </c>
      <c r="C162" s="9" t="s">
        <v>13</v>
      </c>
      <c r="D162" s="20" t="str">
        <f t="shared" si="19"/>
        <v>June</v>
      </c>
      <c r="E162" s="21">
        <v>45455</v>
      </c>
      <c r="F162" s="22">
        <f t="shared" si="21"/>
        <v>4</v>
      </c>
      <c r="G162" s="23">
        <f ca="1" t="shared" ref="G162:G171" si="25">TODAY()</f>
        <v>45939</v>
      </c>
      <c r="H162" s="24">
        <v>5</v>
      </c>
      <c r="I162" s="25">
        <v>1243</v>
      </c>
      <c r="J162" s="26">
        <v>6215</v>
      </c>
      <c r="K162" s="27">
        <f t="shared" si="20"/>
        <v>1243</v>
      </c>
      <c r="M162"/>
    </row>
    <row r="163" spans="1:13">
      <c r="A163" s="9" t="s">
        <v>14</v>
      </c>
      <c r="B163" s="9" t="s">
        <v>29</v>
      </c>
      <c r="C163" s="9" t="s">
        <v>27</v>
      </c>
      <c r="D163" s="20" t="str">
        <f t="shared" si="19"/>
        <v>June</v>
      </c>
      <c r="E163" s="21">
        <v>45461</v>
      </c>
      <c r="F163" s="22">
        <f t="shared" si="21"/>
        <v>3</v>
      </c>
      <c r="G163" s="23">
        <f ca="1" t="shared" si="25"/>
        <v>45939</v>
      </c>
      <c r="H163" s="24">
        <v>5</v>
      </c>
      <c r="I163" s="25">
        <v>1152</v>
      </c>
      <c r="J163" s="26">
        <v>5760</v>
      </c>
      <c r="K163" s="27">
        <f t="shared" si="20"/>
        <v>1152</v>
      </c>
      <c r="M163"/>
    </row>
    <row r="164" spans="1:13">
      <c r="A164" s="9" t="s">
        <v>17</v>
      </c>
      <c r="B164" s="9" t="s">
        <v>20</v>
      </c>
      <c r="C164" s="9" t="s">
        <v>13</v>
      </c>
      <c r="D164" s="20" t="str">
        <f t="shared" si="19"/>
        <v>January</v>
      </c>
      <c r="E164" s="21">
        <v>45297</v>
      </c>
      <c r="F164" s="22">
        <f t="shared" si="21"/>
        <v>7</v>
      </c>
      <c r="G164" s="23">
        <f ca="1" t="shared" si="25"/>
        <v>45939</v>
      </c>
      <c r="H164" s="24">
        <v>4</v>
      </c>
      <c r="I164" s="25">
        <v>1291</v>
      </c>
      <c r="J164" s="26">
        <v>5164</v>
      </c>
      <c r="K164" s="27">
        <f t="shared" si="20"/>
        <v>1291</v>
      </c>
      <c r="M164"/>
    </row>
    <row r="165" spans="1:13">
      <c r="A165" s="9" t="s">
        <v>19</v>
      </c>
      <c r="B165" s="9" t="s">
        <v>20</v>
      </c>
      <c r="C165" s="9" t="s">
        <v>27</v>
      </c>
      <c r="D165" s="20" t="str">
        <f t="shared" si="19"/>
        <v>May</v>
      </c>
      <c r="E165" s="21">
        <v>45433</v>
      </c>
      <c r="F165" s="22">
        <f t="shared" si="21"/>
        <v>3</v>
      </c>
      <c r="G165" s="23">
        <f ca="1" t="shared" si="25"/>
        <v>45939</v>
      </c>
      <c r="H165" s="24">
        <v>6</v>
      </c>
      <c r="I165" s="25">
        <v>791</v>
      </c>
      <c r="J165" s="26">
        <v>4746</v>
      </c>
      <c r="K165" s="27">
        <f t="shared" si="20"/>
        <v>791</v>
      </c>
      <c r="M165"/>
    </row>
    <row r="166" spans="1:13">
      <c r="A166" s="9" t="s">
        <v>17</v>
      </c>
      <c r="B166" s="9" t="s">
        <v>12</v>
      </c>
      <c r="C166" s="9" t="s">
        <v>21</v>
      </c>
      <c r="D166" s="20" t="str">
        <f t="shared" si="19"/>
        <v>January</v>
      </c>
      <c r="E166" s="21">
        <v>45321</v>
      </c>
      <c r="F166" s="22">
        <f t="shared" si="21"/>
        <v>3</v>
      </c>
      <c r="G166" s="23">
        <f ca="1" t="shared" si="25"/>
        <v>45939</v>
      </c>
      <c r="H166" s="24">
        <v>10</v>
      </c>
      <c r="I166" s="25">
        <v>1240</v>
      </c>
      <c r="J166" s="26">
        <v>12400</v>
      </c>
      <c r="K166" s="27">
        <f t="shared" si="20"/>
        <v>1240</v>
      </c>
      <c r="M166"/>
    </row>
    <row r="167" spans="1:13">
      <c r="A167" s="9" t="s">
        <v>19</v>
      </c>
      <c r="B167" s="9" t="s">
        <v>23</v>
      </c>
      <c r="C167" s="9" t="s">
        <v>27</v>
      </c>
      <c r="D167" s="20" t="str">
        <f t="shared" si="19"/>
        <v>February</v>
      </c>
      <c r="E167" s="21">
        <v>45340</v>
      </c>
      <c r="F167" s="22">
        <f t="shared" si="21"/>
        <v>1</v>
      </c>
      <c r="G167" s="23">
        <f ca="1" t="shared" si="25"/>
        <v>45939</v>
      </c>
      <c r="H167" s="24">
        <v>7</v>
      </c>
      <c r="I167" s="25">
        <v>466</v>
      </c>
      <c r="J167" s="26">
        <v>3262</v>
      </c>
      <c r="K167" s="27">
        <f t="shared" si="20"/>
        <v>466</v>
      </c>
      <c r="M167"/>
    </row>
    <row r="168" spans="1:13">
      <c r="A168" s="9" t="s">
        <v>33</v>
      </c>
      <c r="B168" s="9" t="s">
        <v>26</v>
      </c>
      <c r="C168" s="9" t="s">
        <v>24</v>
      </c>
      <c r="D168" s="20" t="str">
        <f t="shared" si="19"/>
        <v>April</v>
      </c>
      <c r="E168" s="21">
        <v>45404</v>
      </c>
      <c r="F168" s="22">
        <f t="shared" si="21"/>
        <v>2</v>
      </c>
      <c r="G168" s="23">
        <f ca="1" t="shared" si="25"/>
        <v>45939</v>
      </c>
      <c r="H168" s="24">
        <v>5</v>
      </c>
      <c r="I168" s="25">
        <v>714</v>
      </c>
      <c r="J168" s="26">
        <v>3570</v>
      </c>
      <c r="K168" s="27">
        <f t="shared" si="20"/>
        <v>714</v>
      </c>
      <c r="M168"/>
    </row>
    <row r="169" spans="1:13">
      <c r="A169" s="9" t="s">
        <v>30</v>
      </c>
      <c r="B169" s="9" t="s">
        <v>32</v>
      </c>
      <c r="C169" s="9" t="s">
        <v>21</v>
      </c>
      <c r="D169" s="20" t="str">
        <f t="shared" si="19"/>
        <v>April</v>
      </c>
      <c r="E169" s="21">
        <v>45398</v>
      </c>
      <c r="F169" s="22">
        <f t="shared" si="21"/>
        <v>3</v>
      </c>
      <c r="G169" s="23">
        <f ca="1" t="shared" si="25"/>
        <v>45939</v>
      </c>
      <c r="H169" s="24">
        <v>10</v>
      </c>
      <c r="I169" s="25">
        <v>1110</v>
      </c>
      <c r="J169" s="26">
        <v>11100</v>
      </c>
      <c r="K169" s="27">
        <f t="shared" si="20"/>
        <v>1110</v>
      </c>
      <c r="M169"/>
    </row>
    <row r="170" spans="1:13">
      <c r="A170" s="9" t="s">
        <v>33</v>
      </c>
      <c r="B170" s="9" t="s">
        <v>28</v>
      </c>
      <c r="C170" s="9" t="s">
        <v>24</v>
      </c>
      <c r="D170" s="20" t="str">
        <f t="shared" si="19"/>
        <v>February</v>
      </c>
      <c r="E170" s="21">
        <v>45335</v>
      </c>
      <c r="F170" s="22">
        <f t="shared" si="21"/>
        <v>3</v>
      </c>
      <c r="G170" s="23">
        <f ca="1" t="shared" si="25"/>
        <v>45939</v>
      </c>
      <c r="H170" s="24">
        <v>2</v>
      </c>
      <c r="I170" s="25">
        <v>1050</v>
      </c>
      <c r="J170" s="26">
        <v>2100</v>
      </c>
      <c r="K170" s="27">
        <f t="shared" si="20"/>
        <v>1050</v>
      </c>
      <c r="M170"/>
    </row>
    <row r="171" spans="1:13">
      <c r="A171" s="9" t="s">
        <v>11</v>
      </c>
      <c r="B171" s="9" t="s">
        <v>34</v>
      </c>
      <c r="C171" s="9" t="s">
        <v>27</v>
      </c>
      <c r="D171" s="20" t="str">
        <f t="shared" si="19"/>
        <v>June</v>
      </c>
      <c r="E171" s="21">
        <v>45449</v>
      </c>
      <c r="F171" s="22">
        <f t="shared" si="21"/>
        <v>5</v>
      </c>
      <c r="G171" s="23">
        <f ca="1" t="shared" si="25"/>
        <v>45939</v>
      </c>
      <c r="H171" s="24">
        <v>5</v>
      </c>
      <c r="I171" s="25">
        <v>336</v>
      </c>
      <c r="J171" s="26">
        <v>1680</v>
      </c>
      <c r="K171" s="27">
        <f t="shared" si="20"/>
        <v>336</v>
      </c>
      <c r="M171"/>
    </row>
    <row r="172" spans="1:13">
      <c r="A172" s="9" t="s">
        <v>22</v>
      </c>
      <c r="B172" s="9" t="s">
        <v>12</v>
      </c>
      <c r="C172" s="9" t="s">
        <v>24</v>
      </c>
      <c r="D172" s="20" t="str">
        <f t="shared" si="19"/>
        <v>April</v>
      </c>
      <c r="E172" s="21">
        <v>45395</v>
      </c>
      <c r="F172" s="22">
        <f t="shared" si="21"/>
        <v>7</v>
      </c>
      <c r="G172" s="23">
        <f ca="1" t="shared" ref="G172:G181" si="26">TODAY()</f>
        <v>45939</v>
      </c>
      <c r="H172" s="24">
        <v>4</v>
      </c>
      <c r="I172" s="25">
        <v>1332</v>
      </c>
      <c r="J172" s="26">
        <v>5328</v>
      </c>
      <c r="K172" s="27">
        <f t="shared" si="20"/>
        <v>1332</v>
      </c>
      <c r="M172"/>
    </row>
    <row r="173" spans="1:13">
      <c r="A173" s="9" t="s">
        <v>22</v>
      </c>
      <c r="B173" s="9" t="s">
        <v>29</v>
      </c>
      <c r="C173" s="9" t="s">
        <v>27</v>
      </c>
      <c r="D173" s="20" t="str">
        <f t="shared" si="19"/>
        <v>June</v>
      </c>
      <c r="E173" s="21">
        <v>45462</v>
      </c>
      <c r="F173" s="22">
        <f t="shared" si="21"/>
        <v>4</v>
      </c>
      <c r="G173" s="23">
        <f ca="1" t="shared" si="26"/>
        <v>45939</v>
      </c>
      <c r="H173" s="24">
        <v>3</v>
      </c>
      <c r="I173" s="25">
        <v>1104</v>
      </c>
      <c r="J173" s="26">
        <v>3312</v>
      </c>
      <c r="K173" s="27">
        <f t="shared" si="20"/>
        <v>1104</v>
      </c>
      <c r="M173"/>
    </row>
    <row r="174" spans="1:13">
      <c r="A174" s="9" t="s">
        <v>16</v>
      </c>
      <c r="B174" s="9" t="s">
        <v>12</v>
      </c>
      <c r="C174" s="9" t="s">
        <v>27</v>
      </c>
      <c r="D174" s="20" t="str">
        <f t="shared" si="19"/>
        <v>February</v>
      </c>
      <c r="E174" s="21">
        <v>45327</v>
      </c>
      <c r="F174" s="22">
        <f t="shared" si="21"/>
        <v>2</v>
      </c>
      <c r="G174" s="23">
        <f ca="1" t="shared" si="26"/>
        <v>45939</v>
      </c>
      <c r="H174" s="24">
        <v>4</v>
      </c>
      <c r="I174" s="25">
        <v>1386</v>
      </c>
      <c r="J174" s="26">
        <v>5544</v>
      </c>
      <c r="K174" s="27">
        <f t="shared" si="20"/>
        <v>1386</v>
      </c>
      <c r="M174"/>
    </row>
    <row r="175" spans="1:13">
      <c r="A175" s="9" t="s">
        <v>16</v>
      </c>
      <c r="B175" s="9" t="s">
        <v>12</v>
      </c>
      <c r="C175" s="9" t="s">
        <v>21</v>
      </c>
      <c r="D175" s="20" t="str">
        <f t="shared" si="19"/>
        <v>April</v>
      </c>
      <c r="E175" s="21">
        <v>45387</v>
      </c>
      <c r="F175" s="22">
        <f t="shared" si="21"/>
        <v>6</v>
      </c>
      <c r="G175" s="23">
        <f ca="1" t="shared" si="26"/>
        <v>45939</v>
      </c>
      <c r="H175" s="24">
        <v>1</v>
      </c>
      <c r="I175" s="25">
        <v>1450</v>
      </c>
      <c r="J175" s="26">
        <v>1450</v>
      </c>
      <c r="K175" s="27">
        <f t="shared" si="20"/>
        <v>1450</v>
      </c>
      <c r="M175"/>
    </row>
    <row r="176" spans="1:13">
      <c r="A176" s="9" t="s">
        <v>25</v>
      </c>
      <c r="B176" s="9" t="s">
        <v>29</v>
      </c>
      <c r="C176" s="9" t="s">
        <v>13</v>
      </c>
      <c r="D176" s="20" t="str">
        <f t="shared" si="19"/>
        <v>March</v>
      </c>
      <c r="E176" s="21">
        <v>45368</v>
      </c>
      <c r="F176" s="22">
        <f t="shared" si="21"/>
        <v>1</v>
      </c>
      <c r="G176" s="23">
        <f ca="1" t="shared" si="26"/>
        <v>45939</v>
      </c>
      <c r="H176" s="24">
        <v>9</v>
      </c>
      <c r="I176" s="25">
        <v>1468</v>
      </c>
      <c r="J176" s="26">
        <v>13212</v>
      </c>
      <c r="K176" s="27">
        <f t="shared" si="20"/>
        <v>1468</v>
      </c>
      <c r="M176"/>
    </row>
    <row r="177" spans="1:13">
      <c r="A177" s="9" t="s">
        <v>25</v>
      </c>
      <c r="B177" s="9" t="s">
        <v>32</v>
      </c>
      <c r="C177" s="9" t="s">
        <v>21</v>
      </c>
      <c r="D177" s="20" t="str">
        <f t="shared" si="19"/>
        <v>March</v>
      </c>
      <c r="E177" s="21">
        <v>45369</v>
      </c>
      <c r="F177" s="22">
        <f t="shared" si="21"/>
        <v>2</v>
      </c>
      <c r="G177" s="23">
        <f ca="1" t="shared" si="26"/>
        <v>45939</v>
      </c>
      <c r="H177" s="24">
        <v>2</v>
      </c>
      <c r="I177" s="25">
        <v>651</v>
      </c>
      <c r="J177" s="26">
        <v>1302</v>
      </c>
      <c r="K177" s="27">
        <f t="shared" si="20"/>
        <v>651</v>
      </c>
      <c r="M177"/>
    </row>
    <row r="178" spans="1:13">
      <c r="A178" s="9" t="s">
        <v>16</v>
      </c>
      <c r="B178" s="9" t="s">
        <v>34</v>
      </c>
      <c r="C178" s="9" t="s">
        <v>24</v>
      </c>
      <c r="D178" s="20" t="str">
        <f t="shared" si="19"/>
        <v>January</v>
      </c>
      <c r="E178" s="21">
        <v>45308</v>
      </c>
      <c r="F178" s="22">
        <f t="shared" si="21"/>
        <v>4</v>
      </c>
      <c r="G178" s="23">
        <f ca="1" t="shared" si="26"/>
        <v>45939</v>
      </c>
      <c r="H178" s="24">
        <v>7</v>
      </c>
      <c r="I178" s="25">
        <v>1044</v>
      </c>
      <c r="J178" s="26">
        <v>7308</v>
      </c>
      <c r="K178" s="27">
        <f t="shared" si="20"/>
        <v>1044</v>
      </c>
      <c r="M178"/>
    </row>
    <row r="179" spans="1:13">
      <c r="A179" s="9" t="s">
        <v>30</v>
      </c>
      <c r="B179" s="9" t="s">
        <v>15</v>
      </c>
      <c r="C179" s="9" t="s">
        <v>27</v>
      </c>
      <c r="D179" s="20" t="str">
        <f t="shared" si="19"/>
        <v>February</v>
      </c>
      <c r="E179" s="21">
        <v>45339</v>
      </c>
      <c r="F179" s="22">
        <f t="shared" si="21"/>
        <v>7</v>
      </c>
      <c r="G179" s="23">
        <f ca="1" t="shared" si="26"/>
        <v>45939</v>
      </c>
      <c r="H179" s="24">
        <v>6</v>
      </c>
      <c r="I179" s="25">
        <v>1045</v>
      </c>
      <c r="J179" s="26">
        <v>6270</v>
      </c>
      <c r="K179" s="27">
        <f t="shared" si="20"/>
        <v>1045</v>
      </c>
      <c r="M179"/>
    </row>
    <row r="180" spans="1:13">
      <c r="A180" s="9" t="s">
        <v>19</v>
      </c>
      <c r="B180" s="9" t="s">
        <v>15</v>
      </c>
      <c r="C180" s="9" t="s">
        <v>21</v>
      </c>
      <c r="D180" s="20" t="str">
        <f t="shared" si="19"/>
        <v>March</v>
      </c>
      <c r="E180" s="21">
        <v>45358</v>
      </c>
      <c r="F180" s="22">
        <f t="shared" si="21"/>
        <v>5</v>
      </c>
      <c r="G180" s="23">
        <f ca="1" t="shared" si="26"/>
        <v>45939</v>
      </c>
      <c r="H180" s="24">
        <v>3</v>
      </c>
      <c r="I180" s="25">
        <v>732</v>
      </c>
      <c r="J180" s="26">
        <v>2196</v>
      </c>
      <c r="K180" s="27">
        <f t="shared" si="20"/>
        <v>732</v>
      </c>
      <c r="M180"/>
    </row>
    <row r="181" spans="1:13">
      <c r="A181" s="9" t="s">
        <v>25</v>
      </c>
      <c r="B181" s="9" t="s">
        <v>23</v>
      </c>
      <c r="C181" s="9" t="s">
        <v>24</v>
      </c>
      <c r="D181" s="20" t="str">
        <f t="shared" si="19"/>
        <v>April</v>
      </c>
      <c r="E181" s="21">
        <v>45391</v>
      </c>
      <c r="F181" s="22">
        <f t="shared" si="21"/>
        <v>3</v>
      </c>
      <c r="G181" s="23">
        <f ca="1" t="shared" si="26"/>
        <v>45939</v>
      </c>
      <c r="H181" s="24">
        <v>2</v>
      </c>
      <c r="I181" s="25">
        <v>1310</v>
      </c>
      <c r="J181" s="26">
        <v>2620</v>
      </c>
      <c r="K181" s="27">
        <f t="shared" si="20"/>
        <v>1310</v>
      </c>
      <c r="M181"/>
    </row>
    <row r="182" spans="1:13">
      <c r="A182" s="9" t="s">
        <v>33</v>
      </c>
      <c r="B182" s="9" t="s">
        <v>20</v>
      </c>
      <c r="C182" s="9" t="s">
        <v>21</v>
      </c>
      <c r="D182" s="20" t="str">
        <f t="shared" si="19"/>
        <v>April</v>
      </c>
      <c r="E182" s="21">
        <v>45395</v>
      </c>
      <c r="F182" s="22">
        <f t="shared" si="21"/>
        <v>7</v>
      </c>
      <c r="G182" s="23">
        <f ca="1" t="shared" ref="G182:G191" si="27">TODAY()</f>
        <v>45939</v>
      </c>
      <c r="H182" s="24">
        <v>10</v>
      </c>
      <c r="I182" s="25">
        <v>858</v>
      </c>
      <c r="J182" s="26">
        <v>8580</v>
      </c>
      <c r="K182" s="27">
        <f t="shared" si="20"/>
        <v>858</v>
      </c>
      <c r="M182"/>
    </row>
    <row r="183" spans="1:13">
      <c r="A183" s="9" t="s">
        <v>14</v>
      </c>
      <c r="B183" s="9" t="s">
        <v>12</v>
      </c>
      <c r="C183" s="9" t="s">
        <v>24</v>
      </c>
      <c r="D183" s="20" t="str">
        <f t="shared" si="19"/>
        <v>March</v>
      </c>
      <c r="E183" s="21">
        <v>45371</v>
      </c>
      <c r="F183" s="22">
        <f t="shared" si="21"/>
        <v>4</v>
      </c>
      <c r="G183" s="23">
        <f ca="1" t="shared" si="27"/>
        <v>45939</v>
      </c>
      <c r="H183" s="24">
        <v>1</v>
      </c>
      <c r="I183" s="25">
        <v>420</v>
      </c>
      <c r="J183" s="26">
        <v>420</v>
      </c>
      <c r="K183" s="27">
        <f t="shared" si="20"/>
        <v>420</v>
      </c>
      <c r="M183"/>
    </row>
    <row r="184" spans="1:13">
      <c r="A184" s="9" t="s">
        <v>33</v>
      </c>
      <c r="B184" s="9" t="s">
        <v>15</v>
      </c>
      <c r="C184" s="9" t="s">
        <v>21</v>
      </c>
      <c r="D184" s="20" t="str">
        <f t="shared" si="19"/>
        <v>February</v>
      </c>
      <c r="E184" s="21">
        <v>45338</v>
      </c>
      <c r="F184" s="22">
        <f t="shared" si="21"/>
        <v>6</v>
      </c>
      <c r="G184" s="23">
        <f ca="1" t="shared" si="27"/>
        <v>45939</v>
      </c>
      <c r="H184" s="24">
        <v>5</v>
      </c>
      <c r="I184" s="25">
        <v>1328</v>
      </c>
      <c r="J184" s="26">
        <v>6640</v>
      </c>
      <c r="K184" s="27">
        <f t="shared" si="20"/>
        <v>1328</v>
      </c>
      <c r="M184"/>
    </row>
    <row r="185" spans="1:13">
      <c r="A185" s="9" t="s">
        <v>31</v>
      </c>
      <c r="B185" s="9" t="s">
        <v>15</v>
      </c>
      <c r="C185" s="9" t="s">
        <v>21</v>
      </c>
      <c r="D185" s="20" t="str">
        <f t="shared" si="19"/>
        <v>April</v>
      </c>
      <c r="E185" s="21">
        <v>45383</v>
      </c>
      <c r="F185" s="22">
        <f t="shared" si="21"/>
        <v>2</v>
      </c>
      <c r="G185" s="23">
        <f ca="1" t="shared" si="27"/>
        <v>45939</v>
      </c>
      <c r="H185" s="24">
        <v>2</v>
      </c>
      <c r="I185" s="25">
        <v>1249</v>
      </c>
      <c r="J185" s="26">
        <v>2498</v>
      </c>
      <c r="K185" s="27">
        <f t="shared" si="20"/>
        <v>1249</v>
      </c>
      <c r="M185"/>
    </row>
    <row r="186" spans="1:13">
      <c r="A186" s="9" t="s">
        <v>16</v>
      </c>
      <c r="B186" s="9" t="s">
        <v>32</v>
      </c>
      <c r="C186" s="9" t="s">
        <v>21</v>
      </c>
      <c r="D186" s="20" t="str">
        <f t="shared" si="19"/>
        <v>January</v>
      </c>
      <c r="E186" s="21">
        <v>45318</v>
      </c>
      <c r="F186" s="22">
        <f t="shared" si="21"/>
        <v>7</v>
      </c>
      <c r="G186" s="23">
        <f ca="1" t="shared" si="27"/>
        <v>45939</v>
      </c>
      <c r="H186" s="24">
        <v>2</v>
      </c>
      <c r="I186" s="25">
        <v>1301</v>
      </c>
      <c r="J186" s="26">
        <v>2602</v>
      </c>
      <c r="K186" s="27">
        <f t="shared" si="20"/>
        <v>1301</v>
      </c>
      <c r="M186"/>
    </row>
    <row r="187" spans="1:13">
      <c r="A187" s="9" t="s">
        <v>30</v>
      </c>
      <c r="B187" s="9" t="s">
        <v>28</v>
      </c>
      <c r="C187" s="9" t="s">
        <v>24</v>
      </c>
      <c r="D187" s="20" t="str">
        <f t="shared" si="19"/>
        <v>February</v>
      </c>
      <c r="E187" s="21">
        <v>45324</v>
      </c>
      <c r="F187" s="22">
        <f t="shared" si="21"/>
        <v>6</v>
      </c>
      <c r="G187" s="23">
        <f ca="1" t="shared" si="27"/>
        <v>45939</v>
      </c>
      <c r="H187" s="24">
        <v>1</v>
      </c>
      <c r="I187" s="25">
        <v>1341</v>
      </c>
      <c r="J187" s="26">
        <v>1341</v>
      </c>
      <c r="K187" s="27">
        <f t="shared" si="20"/>
        <v>1341</v>
      </c>
      <c r="M187"/>
    </row>
    <row r="188" spans="1:13">
      <c r="A188" s="9" t="s">
        <v>33</v>
      </c>
      <c r="B188" s="9" t="s">
        <v>34</v>
      </c>
      <c r="C188" s="9" t="s">
        <v>13</v>
      </c>
      <c r="D188" s="20" t="str">
        <f t="shared" si="19"/>
        <v>April</v>
      </c>
      <c r="E188" s="21">
        <v>45407</v>
      </c>
      <c r="F188" s="22">
        <f t="shared" si="21"/>
        <v>5</v>
      </c>
      <c r="G188" s="23">
        <f ca="1" t="shared" si="27"/>
        <v>45939</v>
      </c>
      <c r="H188" s="24">
        <v>5</v>
      </c>
      <c r="I188" s="25">
        <v>805</v>
      </c>
      <c r="J188" s="26">
        <v>4025</v>
      </c>
      <c r="K188" s="27">
        <f t="shared" si="20"/>
        <v>805</v>
      </c>
      <c r="M188"/>
    </row>
    <row r="189" spans="1:13">
      <c r="A189" s="9" t="s">
        <v>22</v>
      </c>
      <c r="B189" s="9" t="s">
        <v>32</v>
      </c>
      <c r="C189" s="9" t="s">
        <v>24</v>
      </c>
      <c r="D189" s="20" t="str">
        <f t="shared" si="19"/>
        <v>April</v>
      </c>
      <c r="E189" s="21">
        <v>45396</v>
      </c>
      <c r="F189" s="22">
        <f t="shared" si="21"/>
        <v>1</v>
      </c>
      <c r="G189" s="23">
        <f ca="1" t="shared" si="27"/>
        <v>45939</v>
      </c>
      <c r="H189" s="24">
        <v>10</v>
      </c>
      <c r="I189" s="25">
        <v>1373</v>
      </c>
      <c r="J189" s="26">
        <v>13730</v>
      </c>
      <c r="K189" s="27">
        <f t="shared" si="20"/>
        <v>1373</v>
      </c>
      <c r="M189"/>
    </row>
    <row r="190" spans="1:13">
      <c r="A190" s="9" t="s">
        <v>14</v>
      </c>
      <c r="B190" s="9" t="s">
        <v>23</v>
      </c>
      <c r="C190" s="9" t="s">
        <v>13</v>
      </c>
      <c r="D190" s="20" t="str">
        <f t="shared" si="19"/>
        <v>March</v>
      </c>
      <c r="E190" s="21">
        <v>45381</v>
      </c>
      <c r="F190" s="22">
        <f t="shared" si="21"/>
        <v>7</v>
      </c>
      <c r="G190" s="23">
        <f ca="1" t="shared" si="27"/>
        <v>45939</v>
      </c>
      <c r="H190" s="24">
        <v>1</v>
      </c>
      <c r="I190" s="25">
        <v>409</v>
      </c>
      <c r="J190" s="26">
        <v>409</v>
      </c>
      <c r="K190" s="27">
        <f t="shared" si="20"/>
        <v>409</v>
      </c>
      <c r="M190"/>
    </row>
    <row r="191" spans="1:13">
      <c r="A191" s="9" t="s">
        <v>33</v>
      </c>
      <c r="B191" s="9" t="s">
        <v>12</v>
      </c>
      <c r="C191" s="9" t="s">
        <v>24</v>
      </c>
      <c r="D191" s="20" t="str">
        <f t="shared" si="19"/>
        <v>March</v>
      </c>
      <c r="E191" s="21">
        <v>45373</v>
      </c>
      <c r="F191" s="22">
        <f t="shared" si="21"/>
        <v>6</v>
      </c>
      <c r="G191" s="23">
        <f ca="1" t="shared" si="27"/>
        <v>45939</v>
      </c>
      <c r="H191" s="24">
        <v>5</v>
      </c>
      <c r="I191" s="25">
        <v>548</v>
      </c>
      <c r="J191" s="26">
        <v>2740</v>
      </c>
      <c r="K191" s="27">
        <f t="shared" si="20"/>
        <v>548</v>
      </c>
      <c r="M191"/>
    </row>
    <row r="192" spans="1:13">
      <c r="A192" s="9" t="s">
        <v>17</v>
      </c>
      <c r="B192" s="9" t="s">
        <v>28</v>
      </c>
      <c r="C192" s="9" t="s">
        <v>21</v>
      </c>
      <c r="D192" s="20" t="str">
        <f t="shared" si="19"/>
        <v>March</v>
      </c>
      <c r="E192" s="21">
        <v>45357</v>
      </c>
      <c r="F192" s="22">
        <f t="shared" si="21"/>
        <v>4</v>
      </c>
      <c r="G192" s="23">
        <f ca="1" t="shared" ref="G192:G201" si="28">TODAY()</f>
        <v>45939</v>
      </c>
      <c r="H192" s="24">
        <v>8</v>
      </c>
      <c r="I192" s="25">
        <v>836</v>
      </c>
      <c r="J192" s="26">
        <v>6688</v>
      </c>
      <c r="K192" s="27">
        <f t="shared" si="20"/>
        <v>836</v>
      </c>
      <c r="M192"/>
    </row>
    <row r="193" spans="1:13">
      <c r="A193" s="9" t="s">
        <v>31</v>
      </c>
      <c r="B193" s="9" t="s">
        <v>34</v>
      </c>
      <c r="C193" s="9" t="s">
        <v>24</v>
      </c>
      <c r="D193" s="20" t="str">
        <f t="shared" si="19"/>
        <v>February</v>
      </c>
      <c r="E193" s="21">
        <v>45332</v>
      </c>
      <c r="F193" s="22">
        <f t="shared" si="21"/>
        <v>7</v>
      </c>
      <c r="G193" s="23">
        <f ca="1" t="shared" si="28"/>
        <v>45939</v>
      </c>
      <c r="H193" s="24">
        <v>1</v>
      </c>
      <c r="I193" s="25">
        <v>414</v>
      </c>
      <c r="J193" s="26">
        <v>414</v>
      </c>
      <c r="K193" s="27">
        <f t="shared" si="20"/>
        <v>414</v>
      </c>
      <c r="M193"/>
    </row>
    <row r="194" spans="1:13">
      <c r="A194" s="9" t="s">
        <v>16</v>
      </c>
      <c r="B194" s="9" t="s">
        <v>18</v>
      </c>
      <c r="C194" s="9" t="s">
        <v>13</v>
      </c>
      <c r="D194" s="20" t="str">
        <f t="shared" ref="D194:D251" si="29">TEXT(E194,"mmmm")</f>
        <v>January</v>
      </c>
      <c r="E194" s="21">
        <v>45307</v>
      </c>
      <c r="F194" s="22">
        <f t="shared" si="21"/>
        <v>3</v>
      </c>
      <c r="G194" s="23">
        <f ca="1" t="shared" si="28"/>
        <v>45939</v>
      </c>
      <c r="H194" s="24">
        <v>10</v>
      </c>
      <c r="I194" s="25">
        <v>637</v>
      </c>
      <c r="J194" s="26">
        <v>6370</v>
      </c>
      <c r="K194" s="27">
        <f t="shared" ref="K194:K251" si="30">J194/H194</f>
        <v>637</v>
      </c>
      <c r="M194"/>
    </row>
    <row r="195" spans="1:13">
      <c r="A195" s="9" t="s">
        <v>33</v>
      </c>
      <c r="B195" s="9" t="s">
        <v>26</v>
      </c>
      <c r="C195" s="9" t="s">
        <v>21</v>
      </c>
      <c r="D195" s="20" t="str">
        <f t="shared" si="29"/>
        <v>May</v>
      </c>
      <c r="E195" s="21">
        <v>45435</v>
      </c>
      <c r="F195" s="22">
        <f t="shared" ref="F195:F251" si="31">WEEKDAY(E195,1)</f>
        <v>5</v>
      </c>
      <c r="G195" s="23">
        <f ca="1" t="shared" si="28"/>
        <v>45939</v>
      </c>
      <c r="H195" s="24">
        <v>7</v>
      </c>
      <c r="I195" s="25">
        <v>732</v>
      </c>
      <c r="J195" s="26">
        <v>5124</v>
      </c>
      <c r="K195" s="27">
        <f t="shared" si="30"/>
        <v>732</v>
      </c>
      <c r="M195"/>
    </row>
    <row r="196" spans="1:13">
      <c r="A196" s="9" t="s">
        <v>22</v>
      </c>
      <c r="B196" s="9" t="s">
        <v>26</v>
      </c>
      <c r="C196" s="9" t="s">
        <v>21</v>
      </c>
      <c r="D196" s="20" t="str">
        <f t="shared" si="29"/>
        <v>January</v>
      </c>
      <c r="E196" s="21">
        <v>45319</v>
      </c>
      <c r="F196" s="22">
        <f t="shared" si="31"/>
        <v>1</v>
      </c>
      <c r="G196" s="23">
        <f ca="1" t="shared" si="28"/>
        <v>45939</v>
      </c>
      <c r="H196" s="24">
        <v>6</v>
      </c>
      <c r="I196" s="25">
        <v>1217</v>
      </c>
      <c r="J196" s="26">
        <v>7302</v>
      </c>
      <c r="K196" s="27">
        <f t="shared" si="30"/>
        <v>1217</v>
      </c>
      <c r="M196"/>
    </row>
    <row r="197" spans="1:13">
      <c r="A197" s="9" t="s">
        <v>19</v>
      </c>
      <c r="B197" s="9" t="s">
        <v>28</v>
      </c>
      <c r="C197" s="9" t="s">
        <v>27</v>
      </c>
      <c r="D197" s="20" t="str">
        <f t="shared" si="29"/>
        <v>February</v>
      </c>
      <c r="E197" s="21">
        <v>45334</v>
      </c>
      <c r="F197" s="22">
        <f t="shared" si="31"/>
        <v>2</v>
      </c>
      <c r="G197" s="23">
        <f ca="1" t="shared" si="28"/>
        <v>45939</v>
      </c>
      <c r="H197" s="24">
        <v>7</v>
      </c>
      <c r="I197" s="25">
        <v>318</v>
      </c>
      <c r="J197" s="26">
        <v>2226</v>
      </c>
      <c r="K197" s="27">
        <f t="shared" si="30"/>
        <v>318</v>
      </c>
      <c r="M197"/>
    </row>
    <row r="198" spans="1:13">
      <c r="A198" s="9" t="s">
        <v>17</v>
      </c>
      <c r="B198" s="9" t="s">
        <v>20</v>
      </c>
      <c r="C198" s="9" t="s">
        <v>21</v>
      </c>
      <c r="D198" s="20" t="str">
        <f t="shared" si="29"/>
        <v>June</v>
      </c>
      <c r="E198" s="21">
        <v>45448</v>
      </c>
      <c r="F198" s="22">
        <f t="shared" si="31"/>
        <v>4</v>
      </c>
      <c r="G198" s="23">
        <f ca="1" t="shared" si="28"/>
        <v>45939</v>
      </c>
      <c r="H198" s="24">
        <v>1</v>
      </c>
      <c r="I198" s="25">
        <v>859</v>
      </c>
      <c r="J198" s="26">
        <v>859</v>
      </c>
      <c r="K198" s="27">
        <f t="shared" si="30"/>
        <v>859</v>
      </c>
      <c r="M198"/>
    </row>
    <row r="199" spans="1:13">
      <c r="A199" s="9" t="s">
        <v>25</v>
      </c>
      <c r="B199" s="9" t="s">
        <v>23</v>
      </c>
      <c r="C199" s="9" t="s">
        <v>21</v>
      </c>
      <c r="D199" s="20" t="str">
        <f t="shared" si="29"/>
        <v>January</v>
      </c>
      <c r="E199" s="21">
        <v>45311</v>
      </c>
      <c r="F199" s="22">
        <f t="shared" si="31"/>
        <v>7</v>
      </c>
      <c r="G199" s="23">
        <f ca="1" t="shared" si="28"/>
        <v>45939</v>
      </c>
      <c r="H199" s="24">
        <v>5</v>
      </c>
      <c r="I199" s="25">
        <v>1341</v>
      </c>
      <c r="J199" s="26">
        <v>6705</v>
      </c>
      <c r="K199" s="27">
        <f t="shared" si="30"/>
        <v>1341</v>
      </c>
      <c r="M199"/>
    </row>
    <row r="200" spans="1:13">
      <c r="A200" s="9" t="s">
        <v>11</v>
      </c>
      <c r="B200" s="9" t="s">
        <v>34</v>
      </c>
      <c r="C200" s="9" t="s">
        <v>27</v>
      </c>
      <c r="D200" s="20" t="str">
        <f t="shared" si="29"/>
        <v>May</v>
      </c>
      <c r="E200" s="21">
        <v>45432</v>
      </c>
      <c r="F200" s="22">
        <f t="shared" si="31"/>
        <v>2</v>
      </c>
      <c r="G200" s="23">
        <f ca="1" t="shared" si="28"/>
        <v>45939</v>
      </c>
      <c r="H200" s="24">
        <v>2</v>
      </c>
      <c r="I200" s="25">
        <v>784</v>
      </c>
      <c r="J200" s="26">
        <v>1568</v>
      </c>
      <c r="K200" s="27">
        <f t="shared" si="30"/>
        <v>784</v>
      </c>
      <c r="M200"/>
    </row>
    <row r="201" spans="1:13">
      <c r="A201" s="9" t="s">
        <v>19</v>
      </c>
      <c r="B201" s="9" t="s">
        <v>18</v>
      </c>
      <c r="C201" s="9" t="s">
        <v>13</v>
      </c>
      <c r="D201" s="20" t="str">
        <f t="shared" si="29"/>
        <v>May</v>
      </c>
      <c r="E201" s="21">
        <v>45442</v>
      </c>
      <c r="F201" s="22">
        <f t="shared" si="31"/>
        <v>5</v>
      </c>
      <c r="G201" s="23">
        <f ca="1" t="shared" si="28"/>
        <v>45939</v>
      </c>
      <c r="H201" s="24">
        <v>4</v>
      </c>
      <c r="I201" s="25">
        <v>1302</v>
      </c>
      <c r="J201" s="26">
        <v>5208</v>
      </c>
      <c r="K201" s="27">
        <f t="shared" si="30"/>
        <v>1302</v>
      </c>
      <c r="M201"/>
    </row>
    <row r="202" spans="1:13">
      <c r="A202" s="9" t="s">
        <v>17</v>
      </c>
      <c r="B202" s="9" t="s">
        <v>15</v>
      </c>
      <c r="C202" s="9" t="s">
        <v>27</v>
      </c>
      <c r="D202" s="20" t="str">
        <f t="shared" si="29"/>
        <v>April</v>
      </c>
      <c r="E202" s="21">
        <v>45397</v>
      </c>
      <c r="F202" s="22">
        <f t="shared" si="31"/>
        <v>2</v>
      </c>
      <c r="G202" s="23">
        <f ca="1" t="shared" ref="G202:G211" si="32">TODAY()</f>
        <v>45939</v>
      </c>
      <c r="H202" s="24">
        <v>10</v>
      </c>
      <c r="I202" s="25">
        <v>825</v>
      </c>
      <c r="J202" s="26">
        <v>8250</v>
      </c>
      <c r="K202" s="27">
        <f t="shared" si="30"/>
        <v>825</v>
      </c>
      <c r="M202"/>
    </row>
    <row r="203" spans="1:13">
      <c r="A203" s="9" t="s">
        <v>11</v>
      </c>
      <c r="B203" s="9" t="s">
        <v>28</v>
      </c>
      <c r="C203" s="9" t="s">
        <v>24</v>
      </c>
      <c r="D203" s="20" t="str">
        <f t="shared" si="29"/>
        <v>April</v>
      </c>
      <c r="E203" s="21">
        <v>45390</v>
      </c>
      <c r="F203" s="22">
        <f t="shared" si="31"/>
        <v>2</v>
      </c>
      <c r="G203" s="23">
        <f ca="1" t="shared" si="32"/>
        <v>45939</v>
      </c>
      <c r="H203" s="24">
        <v>4</v>
      </c>
      <c r="I203" s="25">
        <v>615</v>
      </c>
      <c r="J203" s="26">
        <v>2460</v>
      </c>
      <c r="K203" s="27">
        <f t="shared" si="30"/>
        <v>615</v>
      </c>
      <c r="M203"/>
    </row>
    <row r="204" spans="1:13">
      <c r="A204" s="9" t="s">
        <v>11</v>
      </c>
      <c r="B204" s="9" t="s">
        <v>34</v>
      </c>
      <c r="C204" s="9" t="s">
        <v>13</v>
      </c>
      <c r="D204" s="20" t="str">
        <f t="shared" si="29"/>
        <v>March</v>
      </c>
      <c r="E204" s="21">
        <v>45379</v>
      </c>
      <c r="F204" s="22">
        <f t="shared" si="31"/>
        <v>5</v>
      </c>
      <c r="G204" s="23">
        <f ca="1" t="shared" si="32"/>
        <v>45939</v>
      </c>
      <c r="H204" s="24">
        <v>8</v>
      </c>
      <c r="I204" s="25">
        <v>981</v>
      </c>
      <c r="J204" s="26">
        <v>7848</v>
      </c>
      <c r="K204" s="27">
        <f t="shared" si="30"/>
        <v>981</v>
      </c>
      <c r="M204"/>
    </row>
    <row r="205" spans="1:13">
      <c r="A205" s="9" t="s">
        <v>31</v>
      </c>
      <c r="B205" s="9" t="s">
        <v>12</v>
      </c>
      <c r="C205" s="9" t="s">
        <v>13</v>
      </c>
      <c r="D205" s="20" t="str">
        <f t="shared" si="29"/>
        <v>June</v>
      </c>
      <c r="E205" s="21">
        <v>45444</v>
      </c>
      <c r="F205" s="22">
        <f t="shared" si="31"/>
        <v>7</v>
      </c>
      <c r="G205" s="23">
        <f ca="1" t="shared" si="32"/>
        <v>45939</v>
      </c>
      <c r="H205" s="24">
        <v>6</v>
      </c>
      <c r="I205" s="25">
        <v>1281</v>
      </c>
      <c r="J205" s="26">
        <v>7686</v>
      </c>
      <c r="K205" s="27">
        <f t="shared" si="30"/>
        <v>1281</v>
      </c>
      <c r="M205"/>
    </row>
    <row r="206" spans="1:13">
      <c r="A206" s="9" t="s">
        <v>31</v>
      </c>
      <c r="B206" s="9" t="s">
        <v>12</v>
      </c>
      <c r="C206" s="9" t="s">
        <v>24</v>
      </c>
      <c r="D206" s="20" t="str">
        <f t="shared" si="29"/>
        <v>June</v>
      </c>
      <c r="E206" s="21">
        <v>45463</v>
      </c>
      <c r="F206" s="22">
        <f t="shared" si="31"/>
        <v>5</v>
      </c>
      <c r="G206" s="23">
        <f ca="1" t="shared" si="32"/>
        <v>45939</v>
      </c>
      <c r="H206" s="24">
        <v>3</v>
      </c>
      <c r="I206" s="25">
        <v>1251</v>
      </c>
      <c r="J206" s="26">
        <v>3753</v>
      </c>
      <c r="K206" s="27">
        <f t="shared" si="30"/>
        <v>1251</v>
      </c>
      <c r="M206"/>
    </row>
    <row r="207" spans="1:13">
      <c r="A207" s="9" t="s">
        <v>25</v>
      </c>
      <c r="B207" s="9" t="s">
        <v>12</v>
      </c>
      <c r="C207" s="9" t="s">
        <v>27</v>
      </c>
      <c r="D207" s="20" t="str">
        <f t="shared" si="29"/>
        <v>January</v>
      </c>
      <c r="E207" s="21">
        <v>45298</v>
      </c>
      <c r="F207" s="22">
        <f t="shared" si="31"/>
        <v>1</v>
      </c>
      <c r="G207" s="23">
        <f ca="1" t="shared" si="32"/>
        <v>45939</v>
      </c>
      <c r="H207" s="24">
        <v>3</v>
      </c>
      <c r="I207" s="25">
        <v>1153</v>
      </c>
      <c r="J207" s="26">
        <v>3459</v>
      </c>
      <c r="K207" s="27">
        <f t="shared" si="30"/>
        <v>1153</v>
      </c>
      <c r="M207"/>
    </row>
    <row r="208" spans="1:13">
      <c r="A208" s="9" t="s">
        <v>14</v>
      </c>
      <c r="B208" s="9" t="s">
        <v>12</v>
      </c>
      <c r="C208" s="9" t="s">
        <v>24</v>
      </c>
      <c r="D208" s="20" t="str">
        <f t="shared" si="29"/>
        <v>June</v>
      </c>
      <c r="E208" s="21">
        <v>45459</v>
      </c>
      <c r="F208" s="22">
        <f t="shared" si="31"/>
        <v>1</v>
      </c>
      <c r="G208" s="23">
        <f ca="1" t="shared" si="32"/>
        <v>45939</v>
      </c>
      <c r="H208" s="24">
        <v>9</v>
      </c>
      <c r="I208" s="25">
        <v>1394</v>
      </c>
      <c r="J208" s="26">
        <v>12546</v>
      </c>
      <c r="K208" s="27">
        <f t="shared" si="30"/>
        <v>1394</v>
      </c>
      <c r="M208"/>
    </row>
    <row r="209" spans="1:13">
      <c r="A209" s="9" t="s">
        <v>25</v>
      </c>
      <c r="B209" s="9" t="s">
        <v>28</v>
      </c>
      <c r="C209" s="9" t="s">
        <v>13</v>
      </c>
      <c r="D209" s="20" t="str">
        <f t="shared" si="29"/>
        <v>May</v>
      </c>
      <c r="E209" s="21">
        <v>45441</v>
      </c>
      <c r="F209" s="22">
        <f t="shared" si="31"/>
        <v>4</v>
      </c>
      <c r="G209" s="23">
        <f ca="1" t="shared" si="32"/>
        <v>45939</v>
      </c>
      <c r="H209" s="24">
        <v>5</v>
      </c>
      <c r="I209" s="25">
        <v>677</v>
      </c>
      <c r="J209" s="26">
        <v>3385</v>
      </c>
      <c r="K209" s="27">
        <f t="shared" si="30"/>
        <v>677</v>
      </c>
      <c r="M209"/>
    </row>
    <row r="210" spans="1:13">
      <c r="A210" s="9" t="s">
        <v>25</v>
      </c>
      <c r="B210" s="9" t="s">
        <v>32</v>
      </c>
      <c r="C210" s="9" t="s">
        <v>21</v>
      </c>
      <c r="D210" s="20" t="str">
        <f t="shared" si="29"/>
        <v>February</v>
      </c>
      <c r="E210" s="21">
        <v>45344</v>
      </c>
      <c r="F210" s="22">
        <f t="shared" si="31"/>
        <v>5</v>
      </c>
      <c r="G210" s="23">
        <f ca="1" t="shared" si="32"/>
        <v>45939</v>
      </c>
      <c r="H210" s="24">
        <v>7</v>
      </c>
      <c r="I210" s="25">
        <v>598</v>
      </c>
      <c r="J210" s="26">
        <v>4186</v>
      </c>
      <c r="K210" s="27">
        <f t="shared" si="30"/>
        <v>598</v>
      </c>
      <c r="M210"/>
    </row>
    <row r="211" spans="1:13">
      <c r="A211" s="9" t="s">
        <v>11</v>
      </c>
      <c r="B211" s="9" t="s">
        <v>28</v>
      </c>
      <c r="C211" s="9" t="s">
        <v>13</v>
      </c>
      <c r="D211" s="20" t="str">
        <f t="shared" si="29"/>
        <v>February</v>
      </c>
      <c r="E211" s="21">
        <v>45340</v>
      </c>
      <c r="F211" s="22">
        <f t="shared" si="31"/>
        <v>1</v>
      </c>
      <c r="G211" s="23">
        <f ca="1" t="shared" si="32"/>
        <v>45939</v>
      </c>
      <c r="H211" s="24">
        <v>6</v>
      </c>
      <c r="I211" s="25">
        <v>1451</v>
      </c>
      <c r="J211" s="26">
        <v>8706</v>
      </c>
      <c r="K211" s="27">
        <f t="shared" si="30"/>
        <v>1451</v>
      </c>
      <c r="M211"/>
    </row>
    <row r="212" spans="1:13">
      <c r="A212" s="9" t="s">
        <v>19</v>
      </c>
      <c r="B212" s="9" t="s">
        <v>20</v>
      </c>
      <c r="C212" s="9" t="s">
        <v>13</v>
      </c>
      <c r="D212" s="20" t="str">
        <f t="shared" si="29"/>
        <v>May</v>
      </c>
      <c r="E212" s="21">
        <v>45423</v>
      </c>
      <c r="F212" s="22">
        <f t="shared" si="31"/>
        <v>7</v>
      </c>
      <c r="G212" s="23">
        <f ca="1" t="shared" ref="G212:G221" si="33">TODAY()</f>
        <v>45939</v>
      </c>
      <c r="H212" s="24">
        <v>9</v>
      </c>
      <c r="I212" s="25">
        <v>1207</v>
      </c>
      <c r="J212" s="26">
        <v>10863</v>
      </c>
      <c r="K212" s="27">
        <f t="shared" si="30"/>
        <v>1207</v>
      </c>
      <c r="M212"/>
    </row>
    <row r="213" spans="1:13">
      <c r="A213" s="9" t="s">
        <v>31</v>
      </c>
      <c r="B213" s="9" t="s">
        <v>18</v>
      </c>
      <c r="C213" s="9" t="s">
        <v>13</v>
      </c>
      <c r="D213" s="20" t="str">
        <f t="shared" si="29"/>
        <v>April</v>
      </c>
      <c r="E213" s="21">
        <v>45391</v>
      </c>
      <c r="F213" s="22">
        <f t="shared" si="31"/>
        <v>3</v>
      </c>
      <c r="G213" s="23">
        <f ca="1" t="shared" si="33"/>
        <v>45939</v>
      </c>
      <c r="H213" s="24">
        <v>1</v>
      </c>
      <c r="I213" s="25">
        <v>379</v>
      </c>
      <c r="J213" s="26">
        <v>379</v>
      </c>
      <c r="K213" s="27">
        <f t="shared" si="30"/>
        <v>379</v>
      </c>
      <c r="M213"/>
    </row>
    <row r="214" spans="1:13">
      <c r="A214" s="9" t="s">
        <v>31</v>
      </c>
      <c r="B214" s="9" t="s">
        <v>26</v>
      </c>
      <c r="C214" s="9" t="s">
        <v>21</v>
      </c>
      <c r="D214" s="20" t="str">
        <f t="shared" si="29"/>
        <v>January</v>
      </c>
      <c r="E214" s="21">
        <v>45319</v>
      </c>
      <c r="F214" s="22">
        <f t="shared" si="31"/>
        <v>1</v>
      </c>
      <c r="G214" s="23">
        <f ca="1" t="shared" si="33"/>
        <v>45939</v>
      </c>
      <c r="H214" s="24">
        <v>2</v>
      </c>
      <c r="I214" s="25">
        <v>1372</v>
      </c>
      <c r="J214" s="26">
        <v>2744</v>
      </c>
      <c r="K214" s="27">
        <f t="shared" si="30"/>
        <v>1372</v>
      </c>
      <c r="M214"/>
    </row>
    <row r="215" spans="1:13">
      <c r="A215" s="9" t="s">
        <v>25</v>
      </c>
      <c r="B215" s="9" t="s">
        <v>32</v>
      </c>
      <c r="C215" s="9" t="s">
        <v>21</v>
      </c>
      <c r="D215" s="20" t="str">
        <f t="shared" si="29"/>
        <v>June</v>
      </c>
      <c r="E215" s="21">
        <v>45471</v>
      </c>
      <c r="F215" s="22">
        <f t="shared" si="31"/>
        <v>6</v>
      </c>
      <c r="G215" s="23">
        <f ca="1" t="shared" si="33"/>
        <v>45939</v>
      </c>
      <c r="H215" s="24">
        <v>7</v>
      </c>
      <c r="I215" s="25">
        <v>1367</v>
      </c>
      <c r="J215" s="26">
        <v>9569</v>
      </c>
      <c r="K215" s="27">
        <f t="shared" si="30"/>
        <v>1367</v>
      </c>
      <c r="M215"/>
    </row>
    <row r="216" spans="1:13">
      <c r="A216" s="9" t="s">
        <v>11</v>
      </c>
      <c r="B216" s="9" t="s">
        <v>23</v>
      </c>
      <c r="C216" s="9" t="s">
        <v>21</v>
      </c>
      <c r="D216" s="20" t="str">
        <f t="shared" si="29"/>
        <v>January</v>
      </c>
      <c r="E216" s="21">
        <v>45316</v>
      </c>
      <c r="F216" s="22">
        <f t="shared" si="31"/>
        <v>5</v>
      </c>
      <c r="G216" s="23">
        <f ca="1" t="shared" si="33"/>
        <v>45939</v>
      </c>
      <c r="H216" s="24">
        <v>3</v>
      </c>
      <c r="I216" s="25">
        <v>379</v>
      </c>
      <c r="J216" s="26">
        <v>1137</v>
      </c>
      <c r="K216" s="27">
        <f t="shared" si="30"/>
        <v>379</v>
      </c>
      <c r="M216"/>
    </row>
    <row r="217" spans="1:13">
      <c r="A217" s="9" t="s">
        <v>11</v>
      </c>
      <c r="B217" s="9" t="s">
        <v>28</v>
      </c>
      <c r="C217" s="9" t="s">
        <v>27</v>
      </c>
      <c r="D217" s="20" t="str">
        <f t="shared" si="29"/>
        <v>February</v>
      </c>
      <c r="E217" s="21">
        <v>45346</v>
      </c>
      <c r="F217" s="22">
        <f t="shared" si="31"/>
        <v>7</v>
      </c>
      <c r="G217" s="23">
        <f ca="1" t="shared" si="33"/>
        <v>45939</v>
      </c>
      <c r="H217" s="24">
        <v>5</v>
      </c>
      <c r="I217" s="25">
        <v>1341</v>
      </c>
      <c r="J217" s="26">
        <v>6705</v>
      </c>
      <c r="K217" s="27">
        <f t="shared" si="30"/>
        <v>1341</v>
      </c>
      <c r="M217"/>
    </row>
    <row r="218" spans="1:13">
      <c r="A218" s="9" t="s">
        <v>14</v>
      </c>
      <c r="B218" s="9" t="s">
        <v>29</v>
      </c>
      <c r="C218" s="9" t="s">
        <v>24</v>
      </c>
      <c r="D218" s="20" t="str">
        <f t="shared" si="29"/>
        <v>February</v>
      </c>
      <c r="E218" s="21">
        <v>45330</v>
      </c>
      <c r="F218" s="22">
        <f t="shared" si="31"/>
        <v>5</v>
      </c>
      <c r="G218" s="23">
        <f ca="1" t="shared" si="33"/>
        <v>45939</v>
      </c>
      <c r="H218" s="24">
        <v>5</v>
      </c>
      <c r="I218" s="25">
        <v>577</v>
      </c>
      <c r="J218" s="26">
        <v>2885</v>
      </c>
      <c r="K218" s="27">
        <f t="shared" si="30"/>
        <v>577</v>
      </c>
      <c r="M218"/>
    </row>
    <row r="219" spans="1:13">
      <c r="A219" s="9" t="s">
        <v>16</v>
      </c>
      <c r="B219" s="9" t="s">
        <v>26</v>
      </c>
      <c r="C219" s="9" t="s">
        <v>21</v>
      </c>
      <c r="D219" s="20" t="str">
        <f t="shared" si="29"/>
        <v>June</v>
      </c>
      <c r="E219" s="21">
        <v>45463</v>
      </c>
      <c r="F219" s="22">
        <f t="shared" si="31"/>
        <v>5</v>
      </c>
      <c r="G219" s="23">
        <f ca="1" t="shared" si="33"/>
        <v>45939</v>
      </c>
      <c r="H219" s="24">
        <v>8</v>
      </c>
      <c r="I219" s="25">
        <v>464</v>
      </c>
      <c r="J219" s="26">
        <v>3712</v>
      </c>
      <c r="K219" s="27">
        <f t="shared" si="30"/>
        <v>464</v>
      </c>
      <c r="M219"/>
    </row>
    <row r="220" spans="1:13">
      <c r="A220" s="9" t="s">
        <v>22</v>
      </c>
      <c r="B220" s="9" t="s">
        <v>28</v>
      </c>
      <c r="C220" s="9" t="s">
        <v>13</v>
      </c>
      <c r="D220" s="20" t="str">
        <f t="shared" si="29"/>
        <v>March</v>
      </c>
      <c r="E220" s="21">
        <v>45357</v>
      </c>
      <c r="F220" s="22">
        <f t="shared" si="31"/>
        <v>4</v>
      </c>
      <c r="G220" s="23">
        <f ca="1" t="shared" si="33"/>
        <v>45939</v>
      </c>
      <c r="H220" s="24">
        <v>5</v>
      </c>
      <c r="I220" s="25">
        <v>1209</v>
      </c>
      <c r="J220" s="26">
        <v>6045</v>
      </c>
      <c r="K220" s="27">
        <f t="shared" si="30"/>
        <v>1209</v>
      </c>
      <c r="M220"/>
    </row>
    <row r="221" spans="1:13">
      <c r="A221" s="9" t="s">
        <v>16</v>
      </c>
      <c r="B221" s="9" t="s">
        <v>18</v>
      </c>
      <c r="C221" s="9" t="s">
        <v>27</v>
      </c>
      <c r="D221" s="20" t="str">
        <f t="shared" si="29"/>
        <v>March</v>
      </c>
      <c r="E221" s="21">
        <v>45373</v>
      </c>
      <c r="F221" s="22">
        <f t="shared" si="31"/>
        <v>6</v>
      </c>
      <c r="G221" s="23">
        <f ca="1" t="shared" si="33"/>
        <v>45939</v>
      </c>
      <c r="H221" s="24">
        <v>10</v>
      </c>
      <c r="I221" s="25">
        <v>766</v>
      </c>
      <c r="J221" s="26">
        <v>7660</v>
      </c>
      <c r="K221" s="27">
        <f t="shared" si="30"/>
        <v>766</v>
      </c>
      <c r="M221"/>
    </row>
    <row r="222" spans="1:13">
      <c r="A222" s="9" t="s">
        <v>33</v>
      </c>
      <c r="B222" s="9" t="s">
        <v>26</v>
      </c>
      <c r="C222" s="9" t="s">
        <v>27</v>
      </c>
      <c r="D222" s="20" t="str">
        <f t="shared" si="29"/>
        <v>June</v>
      </c>
      <c r="E222" s="21">
        <v>45465</v>
      </c>
      <c r="F222" s="22">
        <f t="shared" si="31"/>
        <v>7</v>
      </c>
      <c r="G222" s="23">
        <f ca="1" t="shared" ref="G222:G231" si="34">TODAY()</f>
        <v>45939</v>
      </c>
      <c r="H222" s="24">
        <v>4</v>
      </c>
      <c r="I222" s="25">
        <v>869</v>
      </c>
      <c r="J222" s="26">
        <v>3476</v>
      </c>
      <c r="K222" s="27">
        <f t="shared" si="30"/>
        <v>869</v>
      </c>
      <c r="M222"/>
    </row>
    <row r="223" spans="1:13">
      <c r="A223" s="9" t="s">
        <v>33</v>
      </c>
      <c r="B223" s="9" t="s">
        <v>34</v>
      </c>
      <c r="C223" s="9" t="s">
        <v>21</v>
      </c>
      <c r="D223" s="20" t="str">
        <f t="shared" si="29"/>
        <v>January</v>
      </c>
      <c r="E223" s="21">
        <v>45300</v>
      </c>
      <c r="F223" s="22">
        <f t="shared" si="31"/>
        <v>3</v>
      </c>
      <c r="G223" s="23">
        <f ca="1" t="shared" si="34"/>
        <v>45939</v>
      </c>
      <c r="H223" s="24">
        <v>10</v>
      </c>
      <c r="I223" s="25">
        <v>832</v>
      </c>
      <c r="J223" s="26">
        <v>8320</v>
      </c>
      <c r="K223" s="27">
        <f t="shared" si="30"/>
        <v>832</v>
      </c>
      <c r="M223"/>
    </row>
    <row r="224" spans="1:13">
      <c r="A224" s="9" t="s">
        <v>19</v>
      </c>
      <c r="B224" s="9" t="s">
        <v>18</v>
      </c>
      <c r="C224" s="9" t="s">
        <v>24</v>
      </c>
      <c r="D224" s="20" t="str">
        <f t="shared" si="29"/>
        <v>February</v>
      </c>
      <c r="E224" s="21">
        <v>45347</v>
      </c>
      <c r="F224" s="22">
        <f t="shared" si="31"/>
        <v>1</v>
      </c>
      <c r="G224" s="23">
        <f ca="1" t="shared" si="34"/>
        <v>45939</v>
      </c>
      <c r="H224" s="24">
        <v>2</v>
      </c>
      <c r="I224" s="25">
        <v>626</v>
      </c>
      <c r="J224" s="26">
        <v>1252</v>
      </c>
      <c r="K224" s="27">
        <f t="shared" si="30"/>
        <v>626</v>
      </c>
      <c r="M224"/>
    </row>
    <row r="225" spans="1:13">
      <c r="A225" s="9" t="s">
        <v>30</v>
      </c>
      <c r="B225" s="9" t="s">
        <v>26</v>
      </c>
      <c r="C225" s="9" t="s">
        <v>27</v>
      </c>
      <c r="D225" s="20" t="str">
        <f t="shared" si="29"/>
        <v>January</v>
      </c>
      <c r="E225" s="21">
        <v>45311</v>
      </c>
      <c r="F225" s="22">
        <f t="shared" si="31"/>
        <v>7</v>
      </c>
      <c r="G225" s="23">
        <f ca="1" t="shared" si="34"/>
        <v>45939</v>
      </c>
      <c r="H225" s="24">
        <v>2</v>
      </c>
      <c r="I225" s="25">
        <v>1065</v>
      </c>
      <c r="J225" s="26">
        <v>2130</v>
      </c>
      <c r="K225" s="27">
        <f t="shared" si="30"/>
        <v>1065</v>
      </c>
      <c r="M225"/>
    </row>
    <row r="226" spans="1:13">
      <c r="A226" s="9" t="s">
        <v>25</v>
      </c>
      <c r="B226" s="9" t="s">
        <v>23</v>
      </c>
      <c r="C226" s="9" t="s">
        <v>13</v>
      </c>
      <c r="D226" s="20" t="str">
        <f t="shared" si="29"/>
        <v>June</v>
      </c>
      <c r="E226" s="21">
        <v>45445</v>
      </c>
      <c r="F226" s="22">
        <f t="shared" si="31"/>
        <v>1</v>
      </c>
      <c r="G226" s="23">
        <f ca="1" t="shared" si="34"/>
        <v>45939</v>
      </c>
      <c r="H226" s="24">
        <v>1</v>
      </c>
      <c r="I226" s="25">
        <v>909</v>
      </c>
      <c r="J226" s="26">
        <v>909</v>
      </c>
      <c r="K226" s="27">
        <f t="shared" si="30"/>
        <v>909</v>
      </c>
      <c r="M226"/>
    </row>
    <row r="227" spans="1:13">
      <c r="A227" s="9" t="s">
        <v>25</v>
      </c>
      <c r="B227" s="9" t="s">
        <v>26</v>
      </c>
      <c r="C227" s="9" t="s">
        <v>21</v>
      </c>
      <c r="D227" s="20" t="str">
        <f t="shared" si="29"/>
        <v>January</v>
      </c>
      <c r="E227" s="21">
        <v>45314</v>
      </c>
      <c r="F227" s="22">
        <f t="shared" si="31"/>
        <v>3</v>
      </c>
      <c r="G227" s="23">
        <f ca="1" t="shared" si="34"/>
        <v>45939</v>
      </c>
      <c r="H227" s="24">
        <v>6</v>
      </c>
      <c r="I227" s="25">
        <v>469</v>
      </c>
      <c r="J227" s="26">
        <v>2814</v>
      </c>
      <c r="K227" s="27">
        <f t="shared" si="30"/>
        <v>469</v>
      </c>
      <c r="M227"/>
    </row>
    <row r="228" spans="1:13">
      <c r="A228" s="9" t="s">
        <v>16</v>
      </c>
      <c r="B228" s="9" t="s">
        <v>20</v>
      </c>
      <c r="C228" s="9" t="s">
        <v>13</v>
      </c>
      <c r="D228" s="20" t="str">
        <f t="shared" si="29"/>
        <v>March</v>
      </c>
      <c r="E228" s="21">
        <v>45363</v>
      </c>
      <c r="F228" s="22">
        <f t="shared" si="31"/>
        <v>3</v>
      </c>
      <c r="G228" s="23">
        <f ca="1" t="shared" si="34"/>
        <v>45939</v>
      </c>
      <c r="H228" s="24">
        <v>7</v>
      </c>
      <c r="I228" s="25">
        <v>1257</v>
      </c>
      <c r="J228" s="26">
        <v>8799</v>
      </c>
      <c r="K228" s="27">
        <f t="shared" si="30"/>
        <v>1257</v>
      </c>
      <c r="M228"/>
    </row>
    <row r="229" spans="1:13">
      <c r="A229" s="9" t="s">
        <v>22</v>
      </c>
      <c r="B229" s="9" t="s">
        <v>28</v>
      </c>
      <c r="C229" s="9" t="s">
        <v>13</v>
      </c>
      <c r="D229" s="20" t="str">
        <f t="shared" si="29"/>
        <v>June</v>
      </c>
      <c r="E229" s="21">
        <v>45458</v>
      </c>
      <c r="F229" s="22">
        <f t="shared" si="31"/>
        <v>7</v>
      </c>
      <c r="G229" s="23">
        <f ca="1" t="shared" si="34"/>
        <v>45939</v>
      </c>
      <c r="H229" s="24">
        <v>4</v>
      </c>
      <c r="I229" s="25">
        <v>964</v>
      </c>
      <c r="J229" s="26">
        <v>3856</v>
      </c>
      <c r="K229" s="27">
        <f t="shared" si="30"/>
        <v>964</v>
      </c>
      <c r="M229"/>
    </row>
    <row r="230" spans="1:13">
      <c r="A230" s="9" t="s">
        <v>31</v>
      </c>
      <c r="B230" s="9" t="s">
        <v>15</v>
      </c>
      <c r="C230" s="9" t="s">
        <v>13</v>
      </c>
      <c r="D230" s="20" t="str">
        <f t="shared" si="29"/>
        <v>March</v>
      </c>
      <c r="E230" s="21">
        <v>45370</v>
      </c>
      <c r="F230" s="22">
        <f t="shared" si="31"/>
        <v>3</v>
      </c>
      <c r="G230" s="23">
        <f ca="1" t="shared" si="34"/>
        <v>45939</v>
      </c>
      <c r="H230" s="24">
        <v>4</v>
      </c>
      <c r="I230" s="25">
        <v>364</v>
      </c>
      <c r="J230" s="26">
        <v>1456</v>
      </c>
      <c r="K230" s="27">
        <f t="shared" si="30"/>
        <v>364</v>
      </c>
      <c r="M230"/>
    </row>
    <row r="231" spans="1:13">
      <c r="A231" s="9" t="s">
        <v>25</v>
      </c>
      <c r="B231" s="9" t="s">
        <v>20</v>
      </c>
      <c r="C231" s="9" t="s">
        <v>24</v>
      </c>
      <c r="D231" s="20" t="str">
        <f t="shared" si="29"/>
        <v>January</v>
      </c>
      <c r="E231" s="21">
        <v>45321</v>
      </c>
      <c r="F231" s="22">
        <f t="shared" si="31"/>
        <v>3</v>
      </c>
      <c r="G231" s="23">
        <f ca="1" t="shared" si="34"/>
        <v>45939</v>
      </c>
      <c r="H231" s="24">
        <v>3</v>
      </c>
      <c r="I231" s="25">
        <v>1017</v>
      </c>
      <c r="J231" s="26">
        <v>3051</v>
      </c>
      <c r="K231" s="27">
        <f t="shared" si="30"/>
        <v>1017</v>
      </c>
      <c r="M231"/>
    </row>
    <row r="232" spans="1:13">
      <c r="A232" s="9" t="s">
        <v>17</v>
      </c>
      <c r="B232" s="9" t="s">
        <v>20</v>
      </c>
      <c r="C232" s="9" t="s">
        <v>21</v>
      </c>
      <c r="D232" s="20" t="str">
        <f t="shared" si="29"/>
        <v>May</v>
      </c>
      <c r="E232" s="21">
        <v>45426</v>
      </c>
      <c r="F232" s="22">
        <f t="shared" si="31"/>
        <v>3</v>
      </c>
      <c r="G232" s="23">
        <f ca="1" t="shared" ref="G232:G241" si="35">TODAY()</f>
        <v>45939</v>
      </c>
      <c r="H232" s="24">
        <v>7</v>
      </c>
      <c r="I232" s="25">
        <v>1141</v>
      </c>
      <c r="J232" s="26">
        <v>7987</v>
      </c>
      <c r="K232" s="27">
        <f t="shared" si="30"/>
        <v>1141</v>
      </c>
      <c r="M232"/>
    </row>
    <row r="233" spans="1:13">
      <c r="A233" s="9" t="s">
        <v>19</v>
      </c>
      <c r="B233" s="9" t="s">
        <v>28</v>
      </c>
      <c r="C233" s="9" t="s">
        <v>21</v>
      </c>
      <c r="D233" s="20" t="str">
        <f t="shared" si="29"/>
        <v>May</v>
      </c>
      <c r="E233" s="21">
        <v>45428</v>
      </c>
      <c r="F233" s="22">
        <f t="shared" si="31"/>
        <v>5</v>
      </c>
      <c r="G233" s="23">
        <f ca="1" t="shared" si="35"/>
        <v>45939</v>
      </c>
      <c r="H233" s="24">
        <v>7</v>
      </c>
      <c r="I233" s="25">
        <v>621</v>
      </c>
      <c r="J233" s="26">
        <v>4347</v>
      </c>
      <c r="K233" s="27">
        <f t="shared" si="30"/>
        <v>621</v>
      </c>
      <c r="M233"/>
    </row>
    <row r="234" spans="1:13">
      <c r="A234" s="9" t="s">
        <v>33</v>
      </c>
      <c r="B234" s="9" t="s">
        <v>23</v>
      </c>
      <c r="C234" s="9" t="s">
        <v>24</v>
      </c>
      <c r="D234" s="20" t="str">
        <f t="shared" si="29"/>
        <v>May</v>
      </c>
      <c r="E234" s="21">
        <v>45432</v>
      </c>
      <c r="F234" s="22">
        <f t="shared" si="31"/>
        <v>2</v>
      </c>
      <c r="G234" s="23">
        <f ca="1" t="shared" si="35"/>
        <v>45939</v>
      </c>
      <c r="H234" s="24">
        <v>1</v>
      </c>
      <c r="I234" s="25">
        <v>1494</v>
      </c>
      <c r="J234" s="26">
        <v>1494</v>
      </c>
      <c r="K234" s="27">
        <f t="shared" si="30"/>
        <v>1494</v>
      </c>
      <c r="M234"/>
    </row>
    <row r="235" spans="1:13">
      <c r="A235" s="9" t="s">
        <v>33</v>
      </c>
      <c r="B235" s="9" t="s">
        <v>15</v>
      </c>
      <c r="C235" s="9" t="s">
        <v>21</v>
      </c>
      <c r="D235" s="20" t="str">
        <f t="shared" si="29"/>
        <v>January</v>
      </c>
      <c r="E235" s="21">
        <v>45299</v>
      </c>
      <c r="F235" s="22">
        <f t="shared" si="31"/>
        <v>2</v>
      </c>
      <c r="G235" s="23">
        <f ca="1" t="shared" si="35"/>
        <v>45939</v>
      </c>
      <c r="H235" s="24">
        <v>6</v>
      </c>
      <c r="I235" s="25">
        <v>486</v>
      </c>
      <c r="J235" s="26">
        <v>2916</v>
      </c>
      <c r="K235" s="27">
        <f t="shared" si="30"/>
        <v>486</v>
      </c>
      <c r="M235"/>
    </row>
    <row r="236" spans="1:13">
      <c r="A236" s="9" t="s">
        <v>30</v>
      </c>
      <c r="B236" s="9" t="s">
        <v>29</v>
      </c>
      <c r="C236" s="9" t="s">
        <v>21</v>
      </c>
      <c r="D236" s="20" t="str">
        <f t="shared" si="29"/>
        <v>April</v>
      </c>
      <c r="E236" s="21">
        <v>45389</v>
      </c>
      <c r="F236" s="22">
        <f t="shared" si="31"/>
        <v>1</v>
      </c>
      <c r="G236" s="23">
        <f ca="1" t="shared" si="35"/>
        <v>45939</v>
      </c>
      <c r="H236" s="24">
        <v>10</v>
      </c>
      <c r="I236" s="25">
        <v>713</v>
      </c>
      <c r="J236" s="26">
        <v>7130</v>
      </c>
      <c r="K236" s="27">
        <f t="shared" si="30"/>
        <v>713</v>
      </c>
      <c r="M236"/>
    </row>
    <row r="237" spans="1:13">
      <c r="A237" s="9" t="s">
        <v>11</v>
      </c>
      <c r="B237" s="9" t="s">
        <v>18</v>
      </c>
      <c r="C237" s="9" t="s">
        <v>21</v>
      </c>
      <c r="D237" s="20" t="str">
        <f t="shared" si="29"/>
        <v>February</v>
      </c>
      <c r="E237" s="21">
        <v>45326</v>
      </c>
      <c r="F237" s="22">
        <f t="shared" si="31"/>
        <v>1</v>
      </c>
      <c r="G237" s="23">
        <f ca="1" t="shared" si="35"/>
        <v>45939</v>
      </c>
      <c r="H237" s="24">
        <v>2</v>
      </c>
      <c r="I237" s="25">
        <v>1016</v>
      </c>
      <c r="J237" s="26">
        <v>2032</v>
      </c>
      <c r="K237" s="27">
        <f t="shared" si="30"/>
        <v>1016</v>
      </c>
      <c r="M237"/>
    </row>
    <row r="238" spans="1:13">
      <c r="A238" s="9" t="s">
        <v>16</v>
      </c>
      <c r="B238" s="9" t="s">
        <v>28</v>
      </c>
      <c r="C238" s="9" t="s">
        <v>13</v>
      </c>
      <c r="D238" s="20" t="str">
        <f t="shared" si="29"/>
        <v>February</v>
      </c>
      <c r="E238" s="21">
        <v>45326</v>
      </c>
      <c r="F238" s="22">
        <f t="shared" si="31"/>
        <v>1</v>
      </c>
      <c r="G238" s="23">
        <f ca="1" t="shared" si="35"/>
        <v>45939</v>
      </c>
      <c r="H238" s="24">
        <v>5</v>
      </c>
      <c r="I238" s="25">
        <v>567</v>
      </c>
      <c r="J238" s="26">
        <v>2835</v>
      </c>
      <c r="K238" s="27">
        <f t="shared" si="30"/>
        <v>567</v>
      </c>
      <c r="M238"/>
    </row>
    <row r="239" spans="1:13">
      <c r="A239" s="9" t="s">
        <v>30</v>
      </c>
      <c r="B239" s="9" t="s">
        <v>12</v>
      </c>
      <c r="C239" s="9" t="s">
        <v>13</v>
      </c>
      <c r="D239" s="20" t="str">
        <f t="shared" si="29"/>
        <v>June</v>
      </c>
      <c r="E239" s="21">
        <v>45470</v>
      </c>
      <c r="F239" s="22">
        <f t="shared" si="31"/>
        <v>5</v>
      </c>
      <c r="G239" s="23">
        <f ca="1" t="shared" si="35"/>
        <v>45939</v>
      </c>
      <c r="H239" s="24">
        <v>9</v>
      </c>
      <c r="I239" s="25">
        <v>701</v>
      </c>
      <c r="J239" s="26">
        <v>6309</v>
      </c>
      <c r="K239" s="27">
        <f t="shared" si="30"/>
        <v>701</v>
      </c>
      <c r="M239"/>
    </row>
    <row r="240" spans="1:13">
      <c r="A240" s="9" t="s">
        <v>25</v>
      </c>
      <c r="B240" s="9" t="s">
        <v>32</v>
      </c>
      <c r="C240" s="9" t="s">
        <v>21</v>
      </c>
      <c r="D240" s="20" t="str">
        <f t="shared" si="29"/>
        <v>April</v>
      </c>
      <c r="E240" s="21">
        <v>45393</v>
      </c>
      <c r="F240" s="22">
        <f t="shared" si="31"/>
        <v>5</v>
      </c>
      <c r="G240" s="23">
        <f ca="1" t="shared" si="35"/>
        <v>45939</v>
      </c>
      <c r="H240" s="24">
        <v>2</v>
      </c>
      <c r="I240" s="25">
        <v>1456</v>
      </c>
      <c r="J240" s="26">
        <v>2912</v>
      </c>
      <c r="K240" s="27">
        <f t="shared" si="30"/>
        <v>1456</v>
      </c>
      <c r="M240"/>
    </row>
    <row r="241" spans="1:13">
      <c r="A241" s="9" t="s">
        <v>31</v>
      </c>
      <c r="B241" s="9" t="s">
        <v>32</v>
      </c>
      <c r="C241" s="9" t="s">
        <v>13</v>
      </c>
      <c r="D241" s="20" t="str">
        <f t="shared" si="29"/>
        <v>February</v>
      </c>
      <c r="E241" s="21">
        <v>45324</v>
      </c>
      <c r="F241" s="22">
        <f t="shared" si="31"/>
        <v>6</v>
      </c>
      <c r="G241" s="23">
        <f ca="1" t="shared" si="35"/>
        <v>45939</v>
      </c>
      <c r="H241" s="24">
        <v>4</v>
      </c>
      <c r="I241" s="25">
        <v>348</v>
      </c>
      <c r="J241" s="26">
        <v>1392</v>
      </c>
      <c r="K241" s="27">
        <f t="shared" si="30"/>
        <v>348</v>
      </c>
      <c r="M241"/>
    </row>
    <row r="242" spans="1:13">
      <c r="A242" s="9" t="s">
        <v>33</v>
      </c>
      <c r="B242" s="9" t="s">
        <v>34</v>
      </c>
      <c r="C242" s="9" t="s">
        <v>27</v>
      </c>
      <c r="D242" s="20" t="str">
        <f t="shared" si="29"/>
        <v>May</v>
      </c>
      <c r="E242" s="21">
        <v>45428</v>
      </c>
      <c r="F242" s="22">
        <f t="shared" si="31"/>
        <v>5</v>
      </c>
      <c r="G242" s="23">
        <f ca="1" t="shared" ref="G242:G251" si="36">TODAY()</f>
        <v>45939</v>
      </c>
      <c r="H242" s="24">
        <v>2</v>
      </c>
      <c r="I242" s="25">
        <v>1456</v>
      </c>
      <c r="J242" s="26">
        <v>2912</v>
      </c>
      <c r="K242" s="27">
        <f t="shared" si="30"/>
        <v>1456</v>
      </c>
      <c r="M242"/>
    </row>
    <row r="243" spans="1:13">
      <c r="A243" s="9" t="s">
        <v>22</v>
      </c>
      <c r="B243" s="9" t="s">
        <v>34</v>
      </c>
      <c r="C243" s="9" t="s">
        <v>13</v>
      </c>
      <c r="D243" s="20" t="str">
        <f t="shared" si="29"/>
        <v>February</v>
      </c>
      <c r="E243" s="21">
        <v>45323</v>
      </c>
      <c r="F243" s="22">
        <f t="shared" si="31"/>
        <v>5</v>
      </c>
      <c r="G243" s="23">
        <f ca="1" t="shared" si="36"/>
        <v>45939</v>
      </c>
      <c r="H243" s="24">
        <v>2</v>
      </c>
      <c r="I243" s="25">
        <v>460</v>
      </c>
      <c r="J243" s="26">
        <v>920</v>
      </c>
      <c r="K243" s="27">
        <f t="shared" si="30"/>
        <v>460</v>
      </c>
      <c r="M243"/>
    </row>
    <row r="244" spans="1:13">
      <c r="A244" s="9" t="s">
        <v>16</v>
      </c>
      <c r="B244" s="9" t="s">
        <v>20</v>
      </c>
      <c r="C244" s="9" t="s">
        <v>13</v>
      </c>
      <c r="D244" s="20" t="str">
        <f t="shared" si="29"/>
        <v>January</v>
      </c>
      <c r="E244" s="21">
        <v>45294</v>
      </c>
      <c r="F244" s="22">
        <f t="shared" si="31"/>
        <v>4</v>
      </c>
      <c r="G244" s="23">
        <f ca="1" t="shared" si="36"/>
        <v>45939</v>
      </c>
      <c r="H244" s="24">
        <v>3</v>
      </c>
      <c r="I244" s="25">
        <v>325</v>
      </c>
      <c r="J244" s="26">
        <v>975</v>
      </c>
      <c r="K244" s="27">
        <f t="shared" si="30"/>
        <v>325</v>
      </c>
      <c r="M244"/>
    </row>
    <row r="245" spans="1:13">
      <c r="A245" s="9" t="s">
        <v>19</v>
      </c>
      <c r="B245" s="9" t="s">
        <v>28</v>
      </c>
      <c r="C245" s="9" t="s">
        <v>27</v>
      </c>
      <c r="D245" s="20" t="str">
        <f t="shared" si="29"/>
        <v>March</v>
      </c>
      <c r="E245" s="21">
        <v>45360</v>
      </c>
      <c r="F245" s="22">
        <f t="shared" si="31"/>
        <v>7</v>
      </c>
      <c r="G245" s="23">
        <f ca="1" t="shared" si="36"/>
        <v>45939</v>
      </c>
      <c r="H245" s="24">
        <v>8</v>
      </c>
      <c r="I245" s="25">
        <v>1451</v>
      </c>
      <c r="J245" s="26">
        <v>11608</v>
      </c>
      <c r="K245" s="27">
        <f t="shared" si="30"/>
        <v>1451</v>
      </c>
      <c r="M245"/>
    </row>
    <row r="246" spans="1:13">
      <c r="A246" s="9" t="s">
        <v>25</v>
      </c>
      <c r="B246" s="9" t="s">
        <v>28</v>
      </c>
      <c r="C246" s="9" t="s">
        <v>13</v>
      </c>
      <c r="D246" s="20" t="str">
        <f t="shared" si="29"/>
        <v>February</v>
      </c>
      <c r="E246" s="21">
        <v>45336</v>
      </c>
      <c r="F246" s="22">
        <f t="shared" si="31"/>
        <v>4</v>
      </c>
      <c r="G246" s="23">
        <f ca="1" t="shared" si="36"/>
        <v>45939</v>
      </c>
      <c r="H246" s="24">
        <v>2</v>
      </c>
      <c r="I246" s="25">
        <v>350</v>
      </c>
      <c r="J246" s="26">
        <v>700</v>
      </c>
      <c r="K246" s="27">
        <f t="shared" si="30"/>
        <v>350</v>
      </c>
      <c r="M246"/>
    </row>
    <row r="247" spans="1:13">
      <c r="A247" s="9" t="s">
        <v>22</v>
      </c>
      <c r="B247" s="9" t="s">
        <v>15</v>
      </c>
      <c r="C247" s="9" t="s">
        <v>27</v>
      </c>
      <c r="D247" s="20" t="str">
        <f t="shared" si="29"/>
        <v>May</v>
      </c>
      <c r="E247" s="21">
        <v>45441</v>
      </c>
      <c r="F247" s="22">
        <f t="shared" si="31"/>
        <v>4</v>
      </c>
      <c r="G247" s="23">
        <f ca="1" t="shared" si="36"/>
        <v>45939</v>
      </c>
      <c r="H247" s="24">
        <v>1</v>
      </c>
      <c r="I247" s="25">
        <v>912</v>
      </c>
      <c r="J247" s="26">
        <v>912</v>
      </c>
      <c r="K247" s="27">
        <f t="shared" si="30"/>
        <v>912</v>
      </c>
      <c r="M247"/>
    </row>
    <row r="248" spans="1:13">
      <c r="A248" s="9" t="s">
        <v>19</v>
      </c>
      <c r="B248" s="9" t="s">
        <v>12</v>
      </c>
      <c r="C248" s="9" t="s">
        <v>13</v>
      </c>
      <c r="D248" s="20" t="str">
        <f t="shared" si="29"/>
        <v>April</v>
      </c>
      <c r="E248" s="21">
        <v>45412</v>
      </c>
      <c r="F248" s="22">
        <f t="shared" si="31"/>
        <v>3</v>
      </c>
      <c r="G248" s="23">
        <f ca="1" t="shared" si="36"/>
        <v>45939</v>
      </c>
      <c r="H248" s="24">
        <v>9</v>
      </c>
      <c r="I248" s="25">
        <v>497</v>
      </c>
      <c r="J248" s="26">
        <v>4473</v>
      </c>
      <c r="K248" s="27">
        <f t="shared" si="30"/>
        <v>497</v>
      </c>
      <c r="M248"/>
    </row>
    <row r="249" spans="1:13">
      <c r="A249" s="9" t="s">
        <v>33</v>
      </c>
      <c r="B249" s="9" t="s">
        <v>12</v>
      </c>
      <c r="C249" s="9" t="s">
        <v>13</v>
      </c>
      <c r="D249" s="20" t="str">
        <f t="shared" si="29"/>
        <v>January</v>
      </c>
      <c r="E249" s="21">
        <v>45296</v>
      </c>
      <c r="F249" s="22">
        <f t="shared" si="31"/>
        <v>6</v>
      </c>
      <c r="G249" s="23">
        <f ca="1" t="shared" si="36"/>
        <v>45939</v>
      </c>
      <c r="H249" s="24">
        <v>5</v>
      </c>
      <c r="I249" s="25">
        <v>795</v>
      </c>
      <c r="J249" s="26">
        <v>3975</v>
      </c>
      <c r="K249" s="27">
        <f t="shared" si="30"/>
        <v>795</v>
      </c>
      <c r="M249"/>
    </row>
    <row r="250" spans="1:13">
      <c r="A250" s="9" t="s">
        <v>33</v>
      </c>
      <c r="B250" s="9" t="s">
        <v>23</v>
      </c>
      <c r="C250" s="9" t="s">
        <v>13</v>
      </c>
      <c r="D250" s="20" t="str">
        <f t="shared" si="29"/>
        <v>March</v>
      </c>
      <c r="E250" s="21">
        <v>45352</v>
      </c>
      <c r="F250" s="22">
        <f t="shared" si="31"/>
        <v>6</v>
      </c>
      <c r="G250" s="23">
        <f ca="1" t="shared" si="36"/>
        <v>45939</v>
      </c>
      <c r="H250" s="24">
        <v>10</v>
      </c>
      <c r="I250" s="25">
        <v>1279</v>
      </c>
      <c r="J250" s="26">
        <v>12790</v>
      </c>
      <c r="K250" s="27">
        <f t="shared" si="30"/>
        <v>1279</v>
      </c>
      <c r="M250"/>
    </row>
    <row r="251" spans="1:13">
      <c r="A251" s="9" t="s">
        <v>22</v>
      </c>
      <c r="B251" s="9" t="s">
        <v>32</v>
      </c>
      <c r="C251" s="9" t="s">
        <v>27</v>
      </c>
      <c r="D251" s="20" t="str">
        <f t="shared" si="29"/>
        <v>March</v>
      </c>
      <c r="E251" s="21">
        <v>45378</v>
      </c>
      <c r="F251" s="22">
        <f t="shared" si="31"/>
        <v>4</v>
      </c>
      <c r="G251" s="23">
        <f ca="1" t="shared" si="36"/>
        <v>45939</v>
      </c>
      <c r="H251" s="24">
        <v>7</v>
      </c>
      <c r="I251" s="25">
        <v>945</v>
      </c>
      <c r="J251" s="26">
        <v>6615</v>
      </c>
      <c r="K251" s="27">
        <f t="shared" si="30"/>
        <v>945</v>
      </c>
      <c r="M251"/>
    </row>
  </sheetData>
  <pageMargins left="0.7" right="0.7" top="0.75" bottom="0.75" header="0.3" footer="0.3"/>
  <pageSetup paperSize="1" orientation="portrait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0"/>
  <sheetViews>
    <sheetView workbookViewId="0">
      <selection activeCell="C6" sqref="C6"/>
    </sheetView>
  </sheetViews>
  <sheetFormatPr defaultColWidth="9.14285714285714" defaultRowHeight="15"/>
  <cols>
    <col min="1" max="1" width="18.5714285714286" customWidth="1"/>
    <col min="2" max="2" width="17.2857142857143" customWidth="1"/>
    <col min="3" max="3" width="20.7142857142857" customWidth="1"/>
    <col min="4" max="4" width="9.42857142857143" customWidth="1"/>
    <col min="5" max="5" width="49" customWidth="1"/>
    <col min="6" max="6" width="15.4285714285714" customWidth="1"/>
    <col min="7" max="7" width="17.2857142857143" customWidth="1"/>
    <col min="8" max="8" width="24.5714285714286" customWidth="1"/>
    <col min="9" max="9" width="13.1428571428571" customWidth="1"/>
    <col min="10" max="10" width="24.5714285714286" customWidth="1"/>
    <col min="11" max="11" width="11.8571428571429"/>
    <col min="12" max="244" width="13.1428571428571"/>
    <col min="245" max="245" width="11.8571428571429"/>
  </cols>
  <sheetData>
    <row r="1" spans="1:10">
      <c r="A1" s="1" t="s">
        <v>9</v>
      </c>
      <c r="C1" t="s">
        <v>35</v>
      </c>
      <c r="I1" s="8" t="s">
        <v>36</v>
      </c>
      <c r="J1" s="8" t="s">
        <v>37</v>
      </c>
    </row>
    <row r="2" spans="1:10">
      <c r="A2" t="s">
        <v>38</v>
      </c>
      <c r="C2" t="s">
        <v>39</v>
      </c>
      <c r="I2" s="9" t="s">
        <v>9</v>
      </c>
      <c r="J2" s="10">
        <f>GETPIVOTDATA("Total Sales",$A$2)</f>
        <v>1284773</v>
      </c>
    </row>
    <row r="3" spans="1:10">
      <c r="A3" s="2">
        <v>1284773</v>
      </c>
      <c r="C3" s="2">
        <v>5139.092</v>
      </c>
      <c r="I3" s="9" t="s">
        <v>40</v>
      </c>
      <c r="J3" s="11">
        <f>A8</f>
        <v>1410</v>
      </c>
    </row>
    <row r="4" spans="1:10">
      <c r="A4" s="2"/>
      <c r="I4" s="9" t="s">
        <v>41</v>
      </c>
      <c r="J4" s="9" t="str">
        <f>A13</f>
        <v>Toilet Paper</v>
      </c>
    </row>
    <row r="5" spans="3:10">
      <c r="C5" s="1" t="s">
        <v>42</v>
      </c>
      <c r="I5" s="9" t="s">
        <v>43</v>
      </c>
      <c r="J5" s="12">
        <f>GETPIVOTDATA("Average Seling Price (ASP)",$A$17)</f>
        <v>910.292</v>
      </c>
    </row>
    <row r="6" spans="1:10">
      <c r="A6" s="1" t="s">
        <v>40</v>
      </c>
      <c r="C6" t="s">
        <v>44</v>
      </c>
      <c r="I6" s="13" t="s">
        <v>45</v>
      </c>
      <c r="J6" s="9">
        <f>GETPIVOTDATA("Customer Name",$C$6)</f>
        <v>250</v>
      </c>
    </row>
    <row r="7" spans="1:10">
      <c r="A7" t="s">
        <v>46</v>
      </c>
      <c r="C7" s="3">
        <v>250</v>
      </c>
      <c r="I7" s="13" t="s">
        <v>35</v>
      </c>
      <c r="J7" s="14">
        <f>GETPIVOTDATA("Total Sales",$C$2)</f>
        <v>5139.092</v>
      </c>
    </row>
    <row r="8" spans="1:1">
      <c r="A8" s="2">
        <v>1410</v>
      </c>
    </row>
    <row r="10" spans="9:10">
      <c r="I10" t="s">
        <v>47</v>
      </c>
      <c r="J10" t="s">
        <v>48</v>
      </c>
    </row>
    <row r="11" spans="1:10">
      <c r="A11" s="1" t="s">
        <v>41</v>
      </c>
      <c r="I11" s="15" t="s">
        <v>11</v>
      </c>
      <c r="J11" s="3">
        <v>19</v>
      </c>
    </row>
    <row r="12" spans="1:10">
      <c r="A12" t="s">
        <v>1</v>
      </c>
      <c r="B12" t="s">
        <v>38</v>
      </c>
      <c r="I12" s="15" t="s">
        <v>16</v>
      </c>
      <c r="J12" s="3">
        <v>20</v>
      </c>
    </row>
    <row r="13" spans="1:10">
      <c r="A13" t="s">
        <v>12</v>
      </c>
      <c r="B13" s="2">
        <v>197704</v>
      </c>
      <c r="I13" s="15" t="s">
        <v>31</v>
      </c>
      <c r="J13" s="3">
        <v>28</v>
      </c>
    </row>
    <row r="14" spans="9:10">
      <c r="I14" s="15" t="s">
        <v>30</v>
      </c>
      <c r="J14" s="3">
        <v>24</v>
      </c>
    </row>
    <row r="15" spans="9:10">
      <c r="I15" s="15" t="s">
        <v>22</v>
      </c>
      <c r="J15" s="3">
        <v>26</v>
      </c>
    </row>
    <row r="16" spans="1:10">
      <c r="A16" s="1" t="s">
        <v>49</v>
      </c>
      <c r="E16" s="4" t="s">
        <v>50</v>
      </c>
      <c r="F16" s="5"/>
      <c r="I16" s="15" t="s">
        <v>33</v>
      </c>
      <c r="J16" s="3">
        <v>24</v>
      </c>
    </row>
    <row r="17" spans="1:10">
      <c r="A17" t="s">
        <v>51</v>
      </c>
      <c r="E17" s="5" t="s">
        <v>1</v>
      </c>
      <c r="F17" s="5" t="s">
        <v>39</v>
      </c>
      <c r="I17" s="15" t="s">
        <v>19</v>
      </c>
      <c r="J17" s="3">
        <v>30</v>
      </c>
    </row>
    <row r="18" spans="1:10">
      <c r="A18" s="6">
        <v>910.292</v>
      </c>
      <c r="E18" s="5" t="s">
        <v>29</v>
      </c>
      <c r="F18" s="7">
        <v>6127.5</v>
      </c>
      <c r="I18" s="15" t="s">
        <v>14</v>
      </c>
      <c r="J18" s="3">
        <v>29</v>
      </c>
    </row>
    <row r="19" spans="5:10">
      <c r="E19" s="5" t="s">
        <v>18</v>
      </c>
      <c r="F19" s="7">
        <v>5884.42307692308</v>
      </c>
      <c r="I19" s="15" t="s">
        <v>25</v>
      </c>
      <c r="J19" s="3">
        <v>29</v>
      </c>
    </row>
    <row r="20" spans="5:10">
      <c r="E20" s="5" t="s">
        <v>32</v>
      </c>
      <c r="F20" s="7">
        <v>5696.60869565217</v>
      </c>
      <c r="I20" s="15" t="s">
        <v>17</v>
      </c>
      <c r="J20" s="3">
        <v>21</v>
      </c>
    </row>
    <row r="21" spans="1:10">
      <c r="A21" s="4" t="s">
        <v>52</v>
      </c>
      <c r="B21" s="5"/>
      <c r="E21" s="5" t="s">
        <v>20</v>
      </c>
      <c r="F21" s="7">
        <v>5304.96296296296</v>
      </c>
      <c r="I21" s="15" t="s">
        <v>53</v>
      </c>
      <c r="J21" s="3">
        <v>250</v>
      </c>
    </row>
    <row r="22" spans="1:6">
      <c r="A22" s="5" t="s">
        <v>3</v>
      </c>
      <c r="B22" s="5" t="s">
        <v>38</v>
      </c>
      <c r="E22" s="5" t="s">
        <v>34</v>
      </c>
      <c r="F22" s="7">
        <v>5152</v>
      </c>
    </row>
    <row r="23" spans="1:6">
      <c r="A23" s="5" t="s">
        <v>54</v>
      </c>
      <c r="B23" s="7">
        <v>200878</v>
      </c>
      <c r="E23" s="5" t="s">
        <v>12</v>
      </c>
      <c r="F23" s="7">
        <v>5069.33333333333</v>
      </c>
    </row>
    <row r="24" spans="1:6">
      <c r="A24" s="5" t="s">
        <v>55</v>
      </c>
      <c r="B24" s="7">
        <v>206468</v>
      </c>
      <c r="E24" s="5" t="s">
        <v>15</v>
      </c>
      <c r="F24" s="7">
        <v>5065.5652173913</v>
      </c>
    </row>
    <row r="25" spans="1:6">
      <c r="A25" s="5" t="s">
        <v>56</v>
      </c>
      <c r="B25" s="7">
        <v>243897</v>
      </c>
      <c r="E25" s="5" t="s">
        <v>28</v>
      </c>
      <c r="F25" s="7">
        <v>4686.66666666667</v>
      </c>
    </row>
    <row r="26" spans="1:6">
      <c r="A26" s="5" t="s">
        <v>57</v>
      </c>
      <c r="B26" s="7">
        <v>215812</v>
      </c>
      <c r="E26" s="5" t="s">
        <v>26</v>
      </c>
      <c r="F26" s="7">
        <v>4535.72727272727</v>
      </c>
    </row>
    <row r="27" spans="1:6">
      <c r="A27" s="5" t="s">
        <v>58</v>
      </c>
      <c r="B27" s="7">
        <v>192552</v>
      </c>
      <c r="E27" s="5" t="s">
        <v>23</v>
      </c>
      <c r="F27" s="7">
        <v>4302.04</v>
      </c>
    </row>
    <row r="28" spans="1:2">
      <c r="A28" s="5" t="s">
        <v>59</v>
      </c>
      <c r="B28" s="7">
        <v>225166</v>
      </c>
    </row>
    <row r="30" spans="5:7">
      <c r="E30" s="5" t="s">
        <v>3</v>
      </c>
      <c r="F30" s="5" t="s">
        <v>60</v>
      </c>
      <c r="G30" s="5"/>
    </row>
    <row r="31" spans="1:10">
      <c r="A31" s="4" t="s">
        <v>41</v>
      </c>
      <c r="B31" s="5"/>
      <c r="E31" s="4" t="s">
        <v>61</v>
      </c>
      <c r="F31" s="5"/>
      <c r="G31" s="5"/>
      <c r="I31" s="5" t="s">
        <v>5</v>
      </c>
      <c r="J31" s="5" t="s">
        <v>38</v>
      </c>
    </row>
    <row r="32" spans="1:10">
      <c r="A32" s="5" t="s">
        <v>1</v>
      </c>
      <c r="B32" s="5" t="s">
        <v>38</v>
      </c>
      <c r="E32" s="5" t="s">
        <v>1</v>
      </c>
      <c r="F32" s="5" t="s">
        <v>46</v>
      </c>
      <c r="G32" s="5" t="s">
        <v>38</v>
      </c>
      <c r="I32" s="16">
        <v>1</v>
      </c>
      <c r="J32" s="7">
        <v>255619</v>
      </c>
    </row>
    <row r="33" spans="1:10">
      <c r="A33" s="5" t="s">
        <v>12</v>
      </c>
      <c r="B33" s="7">
        <v>197704</v>
      </c>
      <c r="E33" s="5" t="s">
        <v>12</v>
      </c>
      <c r="F33" s="7">
        <v>221</v>
      </c>
      <c r="G33" s="7">
        <v>197704</v>
      </c>
      <c r="I33" s="16">
        <v>2</v>
      </c>
      <c r="J33" s="7">
        <v>140470</v>
      </c>
    </row>
    <row r="34" spans="1:10">
      <c r="A34" s="5" t="s">
        <v>18</v>
      </c>
      <c r="B34" s="7">
        <v>152995</v>
      </c>
      <c r="E34" s="5" t="s">
        <v>18</v>
      </c>
      <c r="F34" s="7">
        <v>160</v>
      </c>
      <c r="G34" s="7">
        <v>152995</v>
      </c>
      <c r="I34" s="16">
        <v>3</v>
      </c>
      <c r="J34" s="7">
        <v>211788</v>
      </c>
    </row>
    <row r="35" spans="1:10">
      <c r="A35" s="5" t="s">
        <v>20</v>
      </c>
      <c r="B35" s="7">
        <v>143234</v>
      </c>
      <c r="E35" s="5" t="s">
        <v>20</v>
      </c>
      <c r="F35" s="7">
        <v>147</v>
      </c>
      <c r="G35" s="7">
        <v>143234</v>
      </c>
      <c r="I35" s="16">
        <v>4</v>
      </c>
      <c r="J35" s="7">
        <v>144892</v>
      </c>
    </row>
    <row r="36" spans="1:10">
      <c r="A36" s="5" t="s">
        <v>32</v>
      </c>
      <c r="B36" s="7">
        <v>131022</v>
      </c>
      <c r="E36" s="5" t="s">
        <v>32</v>
      </c>
      <c r="F36" s="7">
        <v>133</v>
      </c>
      <c r="G36" s="7">
        <v>131022</v>
      </c>
      <c r="I36" s="16">
        <v>5</v>
      </c>
      <c r="J36" s="7">
        <v>190913</v>
      </c>
    </row>
    <row r="37" spans="1:10">
      <c r="A37" s="5" t="s">
        <v>28</v>
      </c>
      <c r="B37" s="7">
        <v>126540</v>
      </c>
      <c r="E37" s="5" t="s">
        <v>28</v>
      </c>
      <c r="F37" s="7">
        <v>150</v>
      </c>
      <c r="G37" s="7">
        <v>126540</v>
      </c>
      <c r="I37" s="16">
        <v>6</v>
      </c>
      <c r="J37" s="7">
        <v>144252</v>
      </c>
    </row>
    <row r="38" spans="5:10">
      <c r="E38" s="5" t="s">
        <v>34</v>
      </c>
      <c r="F38" s="7">
        <v>135</v>
      </c>
      <c r="G38" s="7">
        <v>123648</v>
      </c>
      <c r="I38" s="16">
        <v>7</v>
      </c>
      <c r="J38" s="7">
        <v>196839</v>
      </c>
    </row>
    <row r="39" spans="5:7">
      <c r="E39" s="5" t="s">
        <v>15</v>
      </c>
      <c r="F39" s="7">
        <v>140</v>
      </c>
      <c r="G39" s="7">
        <v>116508</v>
      </c>
    </row>
    <row r="40" spans="5:7">
      <c r="E40" s="5" t="s">
        <v>23</v>
      </c>
      <c r="F40" s="7">
        <v>120</v>
      </c>
      <c r="G40" s="7">
        <v>107551</v>
      </c>
    </row>
    <row r="41" spans="5:7">
      <c r="E41" s="5" t="s">
        <v>26</v>
      </c>
      <c r="F41" s="7">
        <v>118</v>
      </c>
      <c r="G41" s="7">
        <v>99786</v>
      </c>
    </row>
    <row r="42" spans="5:7">
      <c r="E42" s="5" t="s">
        <v>29</v>
      </c>
      <c r="F42" s="7">
        <v>86</v>
      </c>
      <c r="G42" s="7">
        <v>85785</v>
      </c>
    </row>
    <row r="43" spans="1:3">
      <c r="A43" s="4" t="s">
        <v>62</v>
      </c>
      <c r="B43" s="5"/>
      <c r="C43" s="5"/>
    </row>
    <row r="44" spans="1:2">
      <c r="A44" s="5" t="s">
        <v>0</v>
      </c>
      <c r="B44" s="5" t="s">
        <v>38</v>
      </c>
    </row>
    <row r="45" spans="1:10">
      <c r="A45" s="5" t="s">
        <v>19</v>
      </c>
      <c r="B45" s="7">
        <v>156267</v>
      </c>
      <c r="D45" s="4" t="s">
        <v>63</v>
      </c>
      <c r="E45" s="5"/>
      <c r="F45" s="5"/>
      <c r="G45" s="4" t="s">
        <v>64</v>
      </c>
      <c r="H45" s="5"/>
      <c r="I45" s="5"/>
      <c r="J45" s="5"/>
    </row>
    <row r="46" spans="1:8">
      <c r="A46" s="5" t="s">
        <v>22</v>
      </c>
      <c r="B46" s="7">
        <v>144729</v>
      </c>
      <c r="D46" s="5" t="s">
        <v>2</v>
      </c>
      <c r="E46" s="5" t="s">
        <v>38</v>
      </c>
      <c r="G46" t="s">
        <v>2</v>
      </c>
      <c r="H46" t="s">
        <v>48</v>
      </c>
    </row>
    <row r="47" spans="1:8">
      <c r="A47" s="5" t="s">
        <v>17</v>
      </c>
      <c r="B47" s="7">
        <v>135501</v>
      </c>
      <c r="D47" s="5" t="s">
        <v>24</v>
      </c>
      <c r="E47" s="7">
        <v>299530</v>
      </c>
      <c r="G47" t="s">
        <v>24</v>
      </c>
      <c r="H47" s="3">
        <v>56</v>
      </c>
    </row>
    <row r="48" spans="1:8">
      <c r="A48" s="5" t="s">
        <v>31</v>
      </c>
      <c r="B48" s="7">
        <v>133902</v>
      </c>
      <c r="D48" s="5" t="s">
        <v>13</v>
      </c>
      <c r="E48" s="7">
        <v>311887</v>
      </c>
      <c r="G48" t="s">
        <v>13</v>
      </c>
      <c r="H48" s="3">
        <v>58</v>
      </c>
    </row>
    <row r="49" spans="1:8">
      <c r="A49" s="5" t="s">
        <v>14</v>
      </c>
      <c r="B49" s="7">
        <v>132633</v>
      </c>
      <c r="D49" s="5" t="s">
        <v>27</v>
      </c>
      <c r="E49" s="7">
        <v>328621</v>
      </c>
      <c r="G49" t="s">
        <v>27</v>
      </c>
      <c r="H49" s="3">
        <v>62</v>
      </c>
    </row>
    <row r="50" spans="4:8">
      <c r="D50" s="5" t="s">
        <v>21</v>
      </c>
      <c r="E50" s="7">
        <v>344735</v>
      </c>
      <c r="G50" t="s">
        <v>21</v>
      </c>
      <c r="H50" s="3">
        <v>74</v>
      </c>
    </row>
  </sheetData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showGridLines="0" tabSelected="1" zoomScale="40" zoomScaleNormal="40" topLeftCell="A17" workbookViewId="0">
      <selection activeCell="BG17" sqref="BG17"/>
    </sheetView>
  </sheetViews>
  <sheetFormatPr defaultColWidth="9.14285714285714" defaultRowHeight="15"/>
  <sheetData/>
  <pageMargins left="0.078740157480315" right="0.078740157480315" top="0.078740157480315" bottom="0.078740157480315" header="0.078740157480315" footer="0.078740157480315"/>
  <pageSetup paperSize="1" scale="27" orientation="landscape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Order_Sheet</vt:lpstr>
      <vt:lpstr>Pivottable</vt:lpstr>
      <vt:lpstr>FastKart Order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Dravis</dc:creator>
  <cp:lastModifiedBy>HP</cp:lastModifiedBy>
  <dcterms:created xsi:type="dcterms:W3CDTF">2025-07-13T19:16:00Z</dcterms:created>
  <cp:lastPrinted>2025-10-09T20:45:00Z</cp:lastPrinted>
  <dcterms:modified xsi:type="dcterms:W3CDTF">2025-10-09T20:54:24Z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45884657F3F64AAE9AE31C8A8C95D4B5_12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false</vt:bool>
  </property>
</Properties>
</file>